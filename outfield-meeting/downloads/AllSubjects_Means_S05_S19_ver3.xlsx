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ABL\2025_Kim_gangmin\Results\"/>
    </mc:Choice>
  </mc:AlternateContent>
  <xr:revisionPtr revIDLastSave="0" documentId="13_ncr:1_{4870CE85-E737-4703-B55D-8C87F1A3F120}" xr6:coauthVersionLast="47" xr6:coauthVersionMax="47" xr10:uidLastSave="{00000000-0000-0000-0000-000000000000}"/>
  <bookViews>
    <workbookView xWindow="-120" yWindow="-120" windowWidth="38640" windowHeight="16440" firstSheet="3" activeTab="10" xr2:uid="{00000000-000D-0000-FFFF-FFFF00000000}"/>
  </bookViews>
  <sheets>
    <sheet name="TimeTo1m" sheetId="1" r:id="rId1"/>
    <sheet name="PathLength3D" sheetId="2" r:id="rId2"/>
    <sheet name="PathLength2D" sheetId="3" r:id="rId3"/>
    <sheet name="InstVelocity3D_At1m" sheetId="4" r:id="rId4"/>
    <sheet name="InstVelocity2D_At1m" sheetId="5" r:id="rId5"/>
    <sheet name="Velocity3D" sheetId="6" r:id="rId6"/>
    <sheet name="Velocity2D" sheetId="7" r:id="rId7"/>
    <sheet name="Acc3D_Max" sheetId="8" r:id="rId8"/>
    <sheet name="Acc3D_Mean" sheetId="9" r:id="rId9"/>
    <sheet name="Acc2D_Max" sheetId="10" r:id="rId10"/>
    <sheet name="Acc2D_Mea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8" i="11" l="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G26" i="11"/>
  <c r="R23" i="11"/>
  <c r="B23" i="11"/>
  <c r="R22" i="11"/>
  <c r="B22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G20" i="11"/>
  <c r="AF20" i="11"/>
  <c r="AE20" i="11"/>
  <c r="AD20" i="11"/>
  <c r="AC20" i="11"/>
  <c r="AB20" i="11"/>
  <c r="V26" i="11" s="1"/>
  <c r="AA20" i="11"/>
  <c r="Z20" i="11"/>
  <c r="Y20" i="11"/>
  <c r="X20" i="11"/>
  <c r="W20" i="11"/>
  <c r="V20" i="11"/>
  <c r="U20" i="11"/>
  <c r="T20" i="11"/>
  <c r="U26" i="11" s="1"/>
  <c r="S20" i="11"/>
  <c r="S26" i="11" s="1"/>
  <c r="R20" i="11"/>
  <c r="W26" i="11" s="1"/>
  <c r="Q20" i="11"/>
  <c r="P20" i="11"/>
  <c r="O20" i="11"/>
  <c r="N20" i="11"/>
  <c r="M20" i="11"/>
  <c r="L20" i="11"/>
  <c r="F26" i="11" s="1"/>
  <c r="K20" i="11"/>
  <c r="J20" i="11"/>
  <c r="I20" i="11"/>
  <c r="H20" i="11"/>
  <c r="G20" i="11"/>
  <c r="F20" i="11"/>
  <c r="E20" i="11"/>
  <c r="D20" i="11"/>
  <c r="E26" i="11" s="1"/>
  <c r="C20" i="11"/>
  <c r="C26" i="11" s="1"/>
  <c r="B20" i="11"/>
  <c r="B26" i="11" s="1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R23" i="10"/>
  <c r="B23" i="10"/>
  <c r="R22" i="10"/>
  <c r="B22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G20" i="10"/>
  <c r="AF20" i="10"/>
  <c r="AE20" i="10"/>
  <c r="AD20" i="10"/>
  <c r="AC20" i="10"/>
  <c r="AB20" i="10"/>
  <c r="V26" i="10" s="1"/>
  <c r="AA20" i="10"/>
  <c r="Z20" i="10"/>
  <c r="Y20" i="10"/>
  <c r="X20" i="10"/>
  <c r="W20" i="10"/>
  <c r="V20" i="10"/>
  <c r="U20" i="10"/>
  <c r="T20" i="10"/>
  <c r="U26" i="10" s="1"/>
  <c r="S20" i="10"/>
  <c r="S26" i="10" s="1"/>
  <c r="R20" i="10"/>
  <c r="W26" i="10" s="1"/>
  <c r="Q20" i="10"/>
  <c r="P20" i="10"/>
  <c r="O20" i="10"/>
  <c r="N20" i="10"/>
  <c r="M20" i="10"/>
  <c r="L20" i="10"/>
  <c r="F26" i="10" s="1"/>
  <c r="K20" i="10"/>
  <c r="J20" i="10"/>
  <c r="I20" i="10"/>
  <c r="H20" i="10"/>
  <c r="G20" i="10"/>
  <c r="F20" i="10"/>
  <c r="E20" i="10"/>
  <c r="D20" i="10"/>
  <c r="E26" i="10" s="1"/>
  <c r="C20" i="10"/>
  <c r="C26" i="10" s="1"/>
  <c r="B20" i="10"/>
  <c r="G26" i="10" s="1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R23" i="8"/>
  <c r="B23" i="8"/>
  <c r="R22" i="8"/>
  <c r="B22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G20" i="8"/>
  <c r="AF20" i="8"/>
  <c r="AE20" i="8"/>
  <c r="AD20" i="8"/>
  <c r="AC20" i="8"/>
  <c r="AB20" i="8"/>
  <c r="V26" i="8" s="1"/>
  <c r="AA20" i="8"/>
  <c r="Z20" i="8"/>
  <c r="Y20" i="8"/>
  <c r="X20" i="8"/>
  <c r="W20" i="8"/>
  <c r="V20" i="8"/>
  <c r="U20" i="8"/>
  <c r="T20" i="8"/>
  <c r="U26" i="8" s="1"/>
  <c r="S20" i="8"/>
  <c r="S26" i="8" s="1"/>
  <c r="R20" i="8"/>
  <c r="W26" i="8" s="1"/>
  <c r="Q20" i="8"/>
  <c r="P20" i="8"/>
  <c r="O20" i="8"/>
  <c r="N20" i="8"/>
  <c r="M20" i="8"/>
  <c r="L20" i="8"/>
  <c r="F26" i="8" s="1"/>
  <c r="K20" i="8"/>
  <c r="J20" i="8"/>
  <c r="I20" i="8"/>
  <c r="H20" i="8"/>
  <c r="G20" i="8"/>
  <c r="F20" i="8"/>
  <c r="E20" i="8"/>
  <c r="D20" i="8"/>
  <c r="E26" i="8" s="1"/>
  <c r="C20" i="8"/>
  <c r="C26" i="8" s="1"/>
  <c r="B20" i="8"/>
  <c r="G26" i="8" s="1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R23" i="7"/>
  <c r="B23" i="7"/>
  <c r="R22" i="7"/>
  <c r="B22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G20" i="7"/>
  <c r="AF20" i="7"/>
  <c r="AE20" i="7"/>
  <c r="AD20" i="7"/>
  <c r="AC20" i="7"/>
  <c r="AB20" i="7"/>
  <c r="V26" i="7" s="1"/>
  <c r="AA20" i="7"/>
  <c r="Z20" i="7"/>
  <c r="Y20" i="7"/>
  <c r="X20" i="7"/>
  <c r="W20" i="7"/>
  <c r="V20" i="7"/>
  <c r="U20" i="7"/>
  <c r="T20" i="7"/>
  <c r="U26" i="7" s="1"/>
  <c r="S20" i="7"/>
  <c r="S26" i="7" s="1"/>
  <c r="R20" i="7"/>
  <c r="W26" i="7" s="1"/>
  <c r="Q20" i="7"/>
  <c r="P20" i="7"/>
  <c r="O20" i="7"/>
  <c r="N20" i="7"/>
  <c r="M20" i="7"/>
  <c r="L20" i="7"/>
  <c r="F26" i="7" s="1"/>
  <c r="K20" i="7"/>
  <c r="J20" i="7"/>
  <c r="I20" i="7"/>
  <c r="H20" i="7"/>
  <c r="G20" i="7"/>
  <c r="F20" i="7"/>
  <c r="E20" i="7"/>
  <c r="D20" i="7"/>
  <c r="E26" i="7" s="1"/>
  <c r="C20" i="7"/>
  <c r="C26" i="7" s="1"/>
  <c r="B20" i="7"/>
  <c r="G26" i="7" s="1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R23" i="6"/>
  <c r="B23" i="6"/>
  <c r="R22" i="6"/>
  <c r="B22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G20" i="6"/>
  <c r="AF20" i="6"/>
  <c r="AE20" i="6"/>
  <c r="AD20" i="6"/>
  <c r="AC20" i="6"/>
  <c r="AB20" i="6"/>
  <c r="V26" i="6" s="1"/>
  <c r="AA20" i="6"/>
  <c r="Z20" i="6"/>
  <c r="Y20" i="6"/>
  <c r="X20" i="6"/>
  <c r="W20" i="6"/>
  <c r="V20" i="6"/>
  <c r="U20" i="6"/>
  <c r="T20" i="6"/>
  <c r="U26" i="6" s="1"/>
  <c r="S20" i="6"/>
  <c r="S26" i="6" s="1"/>
  <c r="R20" i="6"/>
  <c r="W26" i="6" s="1"/>
  <c r="Q20" i="6"/>
  <c r="P20" i="6"/>
  <c r="O20" i="6"/>
  <c r="N20" i="6"/>
  <c r="M20" i="6"/>
  <c r="L20" i="6"/>
  <c r="F26" i="6" s="1"/>
  <c r="K20" i="6"/>
  <c r="J20" i="6"/>
  <c r="I20" i="6"/>
  <c r="H20" i="6"/>
  <c r="G20" i="6"/>
  <c r="F20" i="6"/>
  <c r="E20" i="6"/>
  <c r="D20" i="6"/>
  <c r="E26" i="6" s="1"/>
  <c r="C20" i="6"/>
  <c r="C26" i="6" s="1"/>
  <c r="B20" i="6"/>
  <c r="G26" i="6" s="1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R23" i="5"/>
  <c r="B23" i="5"/>
  <c r="R22" i="5"/>
  <c r="B22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G20" i="5"/>
  <c r="AF20" i="5"/>
  <c r="AE20" i="5"/>
  <c r="AD20" i="5"/>
  <c r="AC20" i="5"/>
  <c r="AB20" i="5"/>
  <c r="V26" i="5" s="1"/>
  <c r="AA20" i="5"/>
  <c r="Z20" i="5"/>
  <c r="Y20" i="5"/>
  <c r="X20" i="5"/>
  <c r="W20" i="5"/>
  <c r="V20" i="5"/>
  <c r="U20" i="5"/>
  <c r="T20" i="5"/>
  <c r="U26" i="5" s="1"/>
  <c r="S20" i="5"/>
  <c r="S26" i="5" s="1"/>
  <c r="R20" i="5"/>
  <c r="W26" i="5" s="1"/>
  <c r="Q20" i="5"/>
  <c r="P20" i="5"/>
  <c r="O20" i="5"/>
  <c r="N20" i="5"/>
  <c r="M20" i="5"/>
  <c r="L20" i="5"/>
  <c r="F26" i="5" s="1"/>
  <c r="K20" i="5"/>
  <c r="J20" i="5"/>
  <c r="I20" i="5"/>
  <c r="H20" i="5"/>
  <c r="G20" i="5"/>
  <c r="F20" i="5"/>
  <c r="E20" i="5"/>
  <c r="D20" i="5"/>
  <c r="E26" i="5" s="1"/>
  <c r="C20" i="5"/>
  <c r="C26" i="5" s="1"/>
  <c r="B20" i="5"/>
  <c r="G26" i="5" s="1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R23" i="4"/>
  <c r="B23" i="4"/>
  <c r="R22" i="4"/>
  <c r="B22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G20" i="4"/>
  <c r="AF20" i="4"/>
  <c r="AE20" i="4"/>
  <c r="AD20" i="4"/>
  <c r="AC20" i="4"/>
  <c r="AB20" i="4"/>
  <c r="V26" i="4" s="1"/>
  <c r="AA20" i="4"/>
  <c r="Z20" i="4"/>
  <c r="Y20" i="4"/>
  <c r="X20" i="4"/>
  <c r="W20" i="4"/>
  <c r="V20" i="4"/>
  <c r="U20" i="4"/>
  <c r="T20" i="4"/>
  <c r="U26" i="4" s="1"/>
  <c r="S20" i="4"/>
  <c r="S26" i="4" s="1"/>
  <c r="R20" i="4"/>
  <c r="W26" i="4" s="1"/>
  <c r="Q20" i="4"/>
  <c r="P20" i="4"/>
  <c r="O20" i="4"/>
  <c r="N20" i="4"/>
  <c r="M20" i="4"/>
  <c r="L20" i="4"/>
  <c r="F26" i="4" s="1"/>
  <c r="K20" i="4"/>
  <c r="J20" i="4"/>
  <c r="I20" i="4"/>
  <c r="H20" i="4"/>
  <c r="G20" i="4"/>
  <c r="F20" i="4"/>
  <c r="E20" i="4"/>
  <c r="D20" i="4"/>
  <c r="E26" i="4" s="1"/>
  <c r="C20" i="4"/>
  <c r="C26" i="4" s="1"/>
  <c r="B20" i="4"/>
  <c r="G26" i="4" s="1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R23" i="3"/>
  <c r="B23" i="3"/>
  <c r="R22" i="3"/>
  <c r="B22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G20" i="3"/>
  <c r="AF20" i="3"/>
  <c r="AE20" i="3"/>
  <c r="AD20" i="3"/>
  <c r="AC20" i="3"/>
  <c r="AB20" i="3"/>
  <c r="V26" i="3" s="1"/>
  <c r="AA20" i="3"/>
  <c r="Z20" i="3"/>
  <c r="Y20" i="3"/>
  <c r="X20" i="3"/>
  <c r="W20" i="3"/>
  <c r="V20" i="3"/>
  <c r="U20" i="3"/>
  <c r="T20" i="3"/>
  <c r="U26" i="3" s="1"/>
  <c r="S20" i="3"/>
  <c r="S26" i="3" s="1"/>
  <c r="R20" i="3"/>
  <c r="W26" i="3" s="1"/>
  <c r="Q20" i="3"/>
  <c r="P20" i="3"/>
  <c r="O20" i="3"/>
  <c r="N20" i="3"/>
  <c r="M20" i="3"/>
  <c r="L20" i="3"/>
  <c r="F26" i="3" s="1"/>
  <c r="K20" i="3"/>
  <c r="J20" i="3"/>
  <c r="I20" i="3"/>
  <c r="H20" i="3"/>
  <c r="G20" i="3"/>
  <c r="F20" i="3"/>
  <c r="E20" i="3"/>
  <c r="D20" i="3"/>
  <c r="E26" i="3" s="1"/>
  <c r="C20" i="3"/>
  <c r="C26" i="3" s="1"/>
  <c r="B20" i="3"/>
  <c r="G26" i="3" s="1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R23" i="2"/>
  <c r="B23" i="2"/>
  <c r="R22" i="2"/>
  <c r="B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G20" i="2"/>
  <c r="AF20" i="2"/>
  <c r="AE20" i="2"/>
  <c r="AD20" i="2"/>
  <c r="V26" i="2" s="1"/>
  <c r="AC20" i="2"/>
  <c r="AB20" i="2"/>
  <c r="AA20" i="2"/>
  <c r="Z20" i="2"/>
  <c r="Y20" i="2"/>
  <c r="X20" i="2"/>
  <c r="W20" i="2"/>
  <c r="V20" i="2"/>
  <c r="U20" i="2"/>
  <c r="T20" i="2"/>
  <c r="U26" i="2" s="1"/>
  <c r="S20" i="2"/>
  <c r="S26" i="2" s="1"/>
  <c r="R20" i="2"/>
  <c r="W26" i="2" s="1"/>
  <c r="Q20" i="2"/>
  <c r="P20" i="2"/>
  <c r="O20" i="2"/>
  <c r="N20" i="2"/>
  <c r="M20" i="2"/>
  <c r="L20" i="2"/>
  <c r="F26" i="2" s="1"/>
  <c r="K20" i="2"/>
  <c r="J20" i="2"/>
  <c r="I20" i="2"/>
  <c r="H20" i="2"/>
  <c r="G20" i="2"/>
  <c r="F20" i="2"/>
  <c r="E20" i="2"/>
  <c r="D20" i="2"/>
  <c r="E26" i="2" s="1"/>
  <c r="C20" i="2"/>
  <c r="C26" i="2" s="1"/>
  <c r="B20" i="2"/>
  <c r="G26" i="2" s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6" i="1"/>
  <c r="R23" i="1"/>
  <c r="B23" i="1"/>
  <c r="R22" i="1"/>
  <c r="B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G20" i="1"/>
  <c r="AF20" i="1"/>
  <c r="AE20" i="1"/>
  <c r="AD20" i="1"/>
  <c r="AC20" i="1"/>
  <c r="AB20" i="1"/>
  <c r="V26" i="1" s="1"/>
  <c r="AA20" i="1"/>
  <c r="Z20" i="1"/>
  <c r="Y20" i="1"/>
  <c r="X20" i="1"/>
  <c r="W20" i="1"/>
  <c r="V20" i="1"/>
  <c r="U20" i="1"/>
  <c r="T20" i="1"/>
  <c r="U26" i="1" s="1"/>
  <c r="S20" i="1"/>
  <c r="S26" i="1" s="1"/>
  <c r="R20" i="1"/>
  <c r="R26" i="1" s="1"/>
  <c r="Q20" i="1"/>
  <c r="P20" i="1"/>
  <c r="O20" i="1"/>
  <c r="N20" i="1"/>
  <c r="M20" i="1"/>
  <c r="L20" i="1"/>
  <c r="F26" i="1" s="1"/>
  <c r="K20" i="1"/>
  <c r="J20" i="1"/>
  <c r="I20" i="1"/>
  <c r="H20" i="1"/>
  <c r="G20" i="1"/>
  <c r="F20" i="1"/>
  <c r="E20" i="1"/>
  <c r="D20" i="1"/>
  <c r="E26" i="1" s="1"/>
  <c r="C20" i="1"/>
  <c r="C26" i="1" s="1"/>
  <c r="B20" i="1"/>
  <c r="G26" i="1" s="1"/>
  <c r="R26" i="11" l="1"/>
  <c r="B26" i="10"/>
  <c r="R26" i="10"/>
  <c r="B26" i="8"/>
  <c r="R26" i="8"/>
  <c r="B26" i="7"/>
  <c r="R26" i="7"/>
  <c r="B26" i="6"/>
  <c r="R26" i="6"/>
  <c r="B26" i="5"/>
  <c r="R26" i="5"/>
  <c r="B26" i="4"/>
  <c r="R26" i="4"/>
  <c r="B26" i="3"/>
  <c r="R26" i="3"/>
  <c r="B26" i="2"/>
  <c r="R26" i="2"/>
  <c r="B26" i="1"/>
</calcChain>
</file>

<file path=xl/sharedStrings.xml><?xml version="1.0" encoding="utf-8"?>
<sst xmlns="http://schemas.openxmlformats.org/spreadsheetml/2006/main" count="709" uniqueCount="45">
  <si>
    <t>Subject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</si>
  <si>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</si>
  <si>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</si>
  <si>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</si>
  <si>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</si>
  <si>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</si>
  <si>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</si>
  <si>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</si>
  <si>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</si>
  <si>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</si>
  <si>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</si>
  <si>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</si>
  <si>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</si>
  <si>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</si>
  <si>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</si>
  <si>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</si>
  <si>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Mean</t>
  </si>
  <si>
    <t>1_congruent</t>
  </si>
  <si>
    <t>1_incongruent</t>
  </si>
  <si>
    <t>2_congruent</t>
  </si>
  <si>
    <t>2_incongruent</t>
  </si>
  <si>
    <t>3_congruent</t>
  </si>
  <si>
    <t>3_incongruent</t>
  </si>
  <si>
    <t>4_congruent</t>
  </si>
  <si>
    <t>4_incongruent</t>
  </si>
  <si>
    <t>5_congruent</t>
  </si>
  <si>
    <t>5_incongruent</t>
  </si>
  <si>
    <t>6_congruent</t>
  </si>
  <si>
    <t>6_incongruent</t>
  </si>
  <si>
    <t>7_congruent</t>
  </si>
  <si>
    <t>7_incongruent</t>
  </si>
  <si>
    <t>8_congruent</t>
  </si>
  <si>
    <t>8_incongruent</t>
  </si>
  <si>
    <t>mean</t>
    <phoneticPr fontId="2" type="noConversion"/>
  </si>
  <si>
    <t>SD</t>
    <phoneticPr fontId="2" type="noConversion"/>
  </si>
  <si>
    <t>total mean</t>
    <phoneticPr fontId="2" type="noConversion"/>
  </si>
  <si>
    <t>total SD</t>
    <phoneticPr fontId="2" type="noConversion"/>
  </si>
  <si>
    <t>mean_con</t>
    <phoneticPr fontId="2" type="noConversion"/>
  </si>
  <si>
    <t>mean_incon</t>
    <phoneticPr fontId="2" type="noConversion"/>
  </si>
  <si>
    <t>mean_A</t>
    <phoneticPr fontId="2" type="noConversion"/>
  </si>
  <si>
    <t>mean_P</t>
    <phoneticPr fontId="2" type="noConversion"/>
  </si>
  <si>
    <t>mean_ML</t>
    <phoneticPr fontId="2" type="noConversion"/>
  </si>
  <si>
    <t>p-value</t>
    <phoneticPr fontId="2" type="noConversion"/>
  </si>
  <si>
    <t>Split</t>
    <phoneticPr fontId="1" type="noConversion"/>
  </si>
  <si>
    <t>Walking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</si>
</sst>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1.1549999999999998</v>
      </c>
      <c r="C3">
        <v>1.2050000000000001</v>
      </c>
      <c r="D3">
        <v>1.33</v>
      </c>
      <c r="E3">
        <v>1.1549999999999998</v>
      </c>
      <c r="F3">
        <v>1.42</v>
      </c>
      <c r="G3">
        <v>1.425</v>
      </c>
      <c r="H3">
        <v>1.4049999999999998</v>
      </c>
      <c r="I3">
        <v>1.3450000000000002</v>
      </c>
      <c r="J3">
        <v>1.2250000000000001</v>
      </c>
      <c r="K3">
        <v>1.42</v>
      </c>
      <c r="L3">
        <v>1.375</v>
      </c>
      <c r="M3">
        <v>1.4</v>
      </c>
      <c r="N3">
        <v>1.4100000000000001</v>
      </c>
      <c r="O3">
        <v>1.4449999999999998</v>
      </c>
      <c r="P3">
        <v>1.33</v>
      </c>
      <c r="Q3">
        <v>1.25</v>
      </c>
      <c r="R3">
        <v>1.135</v>
      </c>
      <c r="S3">
        <v>1.2650000000000001</v>
      </c>
      <c r="T3">
        <v>1.2949999999999999</v>
      </c>
      <c r="U3">
        <v>1.26</v>
      </c>
      <c r="V3">
        <v>1.1299999999999999</v>
      </c>
      <c r="W3">
        <v>1.335</v>
      </c>
      <c r="X3">
        <v>1.1299999999999999</v>
      </c>
      <c r="Y3">
        <v>1.2650000000000001</v>
      </c>
      <c r="Z3">
        <v>1.145</v>
      </c>
      <c r="AA3">
        <v>1.1850000000000001</v>
      </c>
      <c r="AB3">
        <v>1.19</v>
      </c>
      <c r="AC3">
        <v>1.395</v>
      </c>
      <c r="AD3">
        <v>1.38</v>
      </c>
      <c r="AE3">
        <v>1.585</v>
      </c>
      <c r="AF3">
        <v>1.2149999999999999</v>
      </c>
      <c r="AG3">
        <v>1.355</v>
      </c>
    </row>
    <row r="4" spans="1:33" x14ac:dyDescent="0.25">
      <c r="A4" t="s">
        <v>2</v>
      </c>
      <c r="B4">
        <v>1.02</v>
      </c>
      <c r="C4">
        <v>1.1000000000000001</v>
      </c>
      <c r="D4">
        <v>1.0900000000000001</v>
      </c>
      <c r="E4">
        <v>1.1850000000000001</v>
      </c>
      <c r="F4">
        <v>1.07</v>
      </c>
      <c r="G4">
        <v>1.125</v>
      </c>
      <c r="H4">
        <v>1.0550000000000002</v>
      </c>
      <c r="I4">
        <v>1.0049999999999999</v>
      </c>
      <c r="J4">
        <v>1.0350000000000001</v>
      </c>
      <c r="K4">
        <v>1.1200000000000001</v>
      </c>
      <c r="L4">
        <v>1.2</v>
      </c>
      <c r="M4">
        <v>1.1949999999999998</v>
      </c>
      <c r="N4">
        <v>1.28</v>
      </c>
      <c r="O4">
        <v>1.365</v>
      </c>
      <c r="P4">
        <v>1.115</v>
      </c>
      <c r="Q4">
        <v>1.2</v>
      </c>
      <c r="R4">
        <v>0.97</v>
      </c>
      <c r="S4">
        <v>1.05</v>
      </c>
      <c r="T4">
        <v>0.97500000000000009</v>
      </c>
      <c r="U4">
        <v>1.1099999999999999</v>
      </c>
      <c r="V4">
        <v>1.0350000000000001</v>
      </c>
      <c r="W4">
        <v>1.355</v>
      </c>
      <c r="X4">
        <v>0.95</v>
      </c>
      <c r="Y4">
        <v>1</v>
      </c>
      <c r="Z4">
        <v>1.085</v>
      </c>
      <c r="AA4">
        <v>1.0750000000000002</v>
      </c>
      <c r="AB4">
        <v>1.105</v>
      </c>
      <c r="AC4">
        <v>1.1099999999999999</v>
      </c>
      <c r="AD4">
        <v>1.28</v>
      </c>
      <c r="AE4">
        <v>1.355</v>
      </c>
      <c r="AF4">
        <v>1.125</v>
      </c>
      <c r="AG4">
        <v>1.135</v>
      </c>
    </row>
    <row r="5" spans="1:33" x14ac:dyDescent="0.25">
      <c r="A5" t="s">
        <v>3</v>
      </c>
      <c r="B5">
        <v>0.99</v>
      </c>
      <c r="C5">
        <v>1.01</v>
      </c>
      <c r="D5">
        <v>1.085</v>
      </c>
      <c r="E5">
        <v>1.4350000000000001</v>
      </c>
      <c r="F5">
        <v>1.1599999999999999</v>
      </c>
      <c r="G5">
        <v>1.28</v>
      </c>
      <c r="H5">
        <v>1.145</v>
      </c>
      <c r="I5">
        <v>1.23</v>
      </c>
      <c r="J5">
        <v>1.0649999999999999</v>
      </c>
      <c r="K5">
        <v>1.1099999999999999</v>
      </c>
      <c r="L5">
        <v>1.145</v>
      </c>
      <c r="M5">
        <v>1.415</v>
      </c>
      <c r="N5">
        <v>1.355</v>
      </c>
      <c r="O5">
        <v>1.5049999999999999</v>
      </c>
      <c r="P5">
        <v>1.2349999999999999</v>
      </c>
      <c r="Q5">
        <v>1.1850000000000001</v>
      </c>
      <c r="R5">
        <v>1.03</v>
      </c>
      <c r="S5">
        <v>1.085</v>
      </c>
      <c r="T5">
        <v>0.91500000000000004</v>
      </c>
      <c r="U5">
        <v>1.145</v>
      </c>
      <c r="V5">
        <v>0.94500000000000006</v>
      </c>
      <c r="W5">
        <v>1.1749999999999998</v>
      </c>
      <c r="X5">
        <v>0.99</v>
      </c>
      <c r="Y5">
        <v>1.1200000000000001</v>
      </c>
      <c r="Z5">
        <v>1.1099999999999999</v>
      </c>
      <c r="AA5">
        <v>1.115</v>
      </c>
      <c r="AB5">
        <v>1.27</v>
      </c>
      <c r="AC5">
        <v>1.28</v>
      </c>
      <c r="AD5">
        <v>1.5499999999999998</v>
      </c>
      <c r="AE5">
        <v>1.69</v>
      </c>
      <c r="AF5">
        <v>1.32</v>
      </c>
      <c r="AG5">
        <v>1.3399999999999999</v>
      </c>
    </row>
    <row r="6" spans="1:33" x14ac:dyDescent="0.25">
      <c r="A6" t="s">
        <v>4</v>
      </c>
      <c r="B6">
        <v>1.1399999999999999</v>
      </c>
      <c r="C6">
        <v>1.1299999999999999</v>
      </c>
      <c r="D6">
        <v>1.0900000000000001</v>
      </c>
      <c r="E6">
        <v>1.08</v>
      </c>
      <c r="F6">
        <v>1.0350000000000001</v>
      </c>
      <c r="G6">
        <v>1.2250000000000001</v>
      </c>
      <c r="H6">
        <v>1.04</v>
      </c>
      <c r="I6">
        <v>1.155</v>
      </c>
      <c r="J6">
        <v>1.1000000000000001</v>
      </c>
      <c r="K6">
        <v>1.08</v>
      </c>
      <c r="L6">
        <v>1.165</v>
      </c>
      <c r="M6">
        <v>1.19</v>
      </c>
      <c r="N6">
        <v>1.2549999999999999</v>
      </c>
      <c r="O6">
        <v>1.3049999999999999</v>
      </c>
      <c r="P6">
        <v>1.1850000000000001</v>
      </c>
      <c r="Q6">
        <v>1.2949999999999999</v>
      </c>
      <c r="R6">
        <v>1.0449999999999999</v>
      </c>
      <c r="S6">
        <v>1.085</v>
      </c>
      <c r="T6">
        <v>0.96499999999999997</v>
      </c>
      <c r="U6">
        <v>1.1000000000000001</v>
      </c>
      <c r="V6">
        <v>1.0249999999999999</v>
      </c>
      <c r="W6">
        <v>1.1299999999999999</v>
      </c>
      <c r="X6">
        <v>0.95</v>
      </c>
      <c r="Y6">
        <v>1.1000000000000001</v>
      </c>
      <c r="Z6">
        <v>1.0249999999999999</v>
      </c>
      <c r="AA6">
        <v>1.06</v>
      </c>
      <c r="AB6">
        <v>1.23</v>
      </c>
      <c r="AC6">
        <v>1.1850000000000001</v>
      </c>
      <c r="AD6">
        <v>1.3399999999999999</v>
      </c>
      <c r="AE6">
        <v>1.4249999999999998</v>
      </c>
      <c r="AF6">
        <v>1.2450000000000001</v>
      </c>
      <c r="AG6">
        <v>1.23</v>
      </c>
    </row>
    <row r="7" spans="1:33" x14ac:dyDescent="0.25">
      <c r="A7" t="s">
        <v>5</v>
      </c>
      <c r="B7">
        <v>1.0150000000000001</v>
      </c>
      <c r="C7">
        <v>1.0550000000000002</v>
      </c>
      <c r="D7">
        <v>1.0049999999999999</v>
      </c>
      <c r="E7">
        <v>1.1200000000000001</v>
      </c>
      <c r="F7">
        <v>0.99</v>
      </c>
      <c r="G7">
        <v>1.145</v>
      </c>
      <c r="H7">
        <v>0.96499999999999997</v>
      </c>
      <c r="I7">
        <v>1.0449999999999999</v>
      </c>
      <c r="J7">
        <v>0.94500000000000006</v>
      </c>
      <c r="K7">
        <v>1.02</v>
      </c>
      <c r="L7">
        <v>1.07</v>
      </c>
      <c r="M7">
        <v>1.29</v>
      </c>
      <c r="N7">
        <v>1.3900000000000001</v>
      </c>
      <c r="O7">
        <v>1.3</v>
      </c>
      <c r="P7">
        <v>1.135</v>
      </c>
      <c r="Q7">
        <v>1.19</v>
      </c>
      <c r="R7">
        <v>1.0249999999999999</v>
      </c>
      <c r="S7">
        <v>1.07</v>
      </c>
      <c r="T7">
        <v>0.95</v>
      </c>
      <c r="U7">
        <v>1.04</v>
      </c>
      <c r="V7">
        <v>1.0150000000000001</v>
      </c>
      <c r="W7">
        <v>1.2000000000000002</v>
      </c>
      <c r="X7">
        <v>0.99</v>
      </c>
      <c r="Y7">
        <v>1.135</v>
      </c>
      <c r="Z7">
        <v>1.08</v>
      </c>
      <c r="AA7">
        <v>1.23</v>
      </c>
      <c r="AB7">
        <v>1.21</v>
      </c>
      <c r="AC7">
        <v>1.24</v>
      </c>
      <c r="AD7">
        <v>1.38</v>
      </c>
      <c r="AE7">
        <v>1.39</v>
      </c>
      <c r="AF7">
        <v>1.17</v>
      </c>
      <c r="AG7">
        <v>1.25</v>
      </c>
    </row>
    <row r="8" spans="1:33" x14ac:dyDescent="0.25">
      <c r="A8" t="s">
        <v>6</v>
      </c>
      <c r="B8">
        <v>1.2</v>
      </c>
      <c r="C8">
        <v>1.165</v>
      </c>
      <c r="D8">
        <v>1.17</v>
      </c>
      <c r="E8">
        <v>1.1949999999999998</v>
      </c>
      <c r="F8">
        <v>1.1599999999999999</v>
      </c>
      <c r="G8">
        <v>1.22</v>
      </c>
      <c r="H8">
        <v>1.19</v>
      </c>
      <c r="I8">
        <v>1.1499999999999999</v>
      </c>
      <c r="J8">
        <v>1.27</v>
      </c>
      <c r="K8">
        <v>1.2</v>
      </c>
      <c r="L8">
        <v>1.375</v>
      </c>
      <c r="M8">
        <v>1.41</v>
      </c>
      <c r="N8">
        <v>1.44</v>
      </c>
      <c r="O8">
        <v>1.53</v>
      </c>
      <c r="P8">
        <v>1.365</v>
      </c>
      <c r="Q8">
        <v>1.405</v>
      </c>
      <c r="R8">
        <v>1.175</v>
      </c>
      <c r="S8">
        <v>1.2949999999999999</v>
      </c>
      <c r="T8">
        <v>1.01</v>
      </c>
      <c r="U8">
        <v>1.095</v>
      </c>
      <c r="V8">
        <v>0.94</v>
      </c>
      <c r="W8">
        <v>1.0150000000000001</v>
      </c>
      <c r="X8">
        <v>0.99</v>
      </c>
      <c r="Y8">
        <v>0.97500000000000009</v>
      </c>
      <c r="Z8">
        <v>1.105</v>
      </c>
      <c r="AA8">
        <v>1.2</v>
      </c>
      <c r="AB8">
        <v>1.42</v>
      </c>
      <c r="AC8">
        <v>1.4249999999999998</v>
      </c>
      <c r="AD8">
        <v>1.65</v>
      </c>
      <c r="AE8">
        <v>1.7</v>
      </c>
      <c r="AF8">
        <v>1.44</v>
      </c>
      <c r="AG8">
        <v>1.53</v>
      </c>
    </row>
    <row r="9" spans="1:33" x14ac:dyDescent="0.25">
      <c r="A9" t="s">
        <v>7</v>
      </c>
      <c r="B9">
        <v>1.17</v>
      </c>
      <c r="C9">
        <v>1.1749999999999998</v>
      </c>
      <c r="D9">
        <v>1.1099999999999999</v>
      </c>
      <c r="E9">
        <v>1.19</v>
      </c>
      <c r="F9">
        <v>1.19</v>
      </c>
      <c r="G9">
        <v>1.2149999999999999</v>
      </c>
      <c r="H9">
        <v>1.1399999999999999</v>
      </c>
      <c r="I9">
        <v>1.2450000000000001</v>
      </c>
      <c r="J9">
        <v>1.2050000000000001</v>
      </c>
      <c r="K9">
        <v>1.2149999999999999</v>
      </c>
      <c r="L9">
        <v>1.28</v>
      </c>
      <c r="M9">
        <v>1.34</v>
      </c>
      <c r="N9">
        <v>1.385</v>
      </c>
      <c r="O9">
        <v>1.415</v>
      </c>
      <c r="P9">
        <v>1.24</v>
      </c>
      <c r="Q9">
        <v>1.3050000000000002</v>
      </c>
      <c r="R9">
        <v>1.115</v>
      </c>
      <c r="S9">
        <v>1.2</v>
      </c>
      <c r="T9">
        <v>1.145</v>
      </c>
      <c r="U9">
        <v>1.19</v>
      </c>
      <c r="V9">
        <v>1.1200000000000001</v>
      </c>
      <c r="W9">
        <v>1.1749999999999998</v>
      </c>
      <c r="X9">
        <v>1.0550000000000002</v>
      </c>
      <c r="Y9">
        <v>1.21</v>
      </c>
      <c r="Z9">
        <v>1.2250000000000001</v>
      </c>
      <c r="AA9">
        <v>1.2</v>
      </c>
      <c r="AB9">
        <v>1.335</v>
      </c>
      <c r="AC9">
        <v>1.3250000000000002</v>
      </c>
      <c r="AD9">
        <v>1.375</v>
      </c>
      <c r="AE9">
        <v>1.4350000000000001</v>
      </c>
      <c r="AF9">
        <v>1.2850000000000001</v>
      </c>
      <c r="AG9">
        <v>1.3</v>
      </c>
    </row>
    <row r="10" spans="1:33" x14ac:dyDescent="0.25">
      <c r="A10" t="s">
        <v>8</v>
      </c>
      <c r="B10">
        <v>1.24</v>
      </c>
      <c r="C10">
        <v>1.2250000000000001</v>
      </c>
      <c r="D10">
        <v>1.2349999999999999</v>
      </c>
      <c r="E10">
        <v>1.2250000000000001</v>
      </c>
      <c r="F10">
        <v>1.28</v>
      </c>
      <c r="G10">
        <v>1.38</v>
      </c>
      <c r="H10">
        <v>1.1850000000000001</v>
      </c>
      <c r="I10">
        <v>1.1850000000000001</v>
      </c>
      <c r="J10">
        <v>1.175</v>
      </c>
      <c r="K10">
        <v>1.25</v>
      </c>
      <c r="L10">
        <v>1.3050000000000002</v>
      </c>
      <c r="M10">
        <v>1.3149999999999999</v>
      </c>
      <c r="N10">
        <v>1.34</v>
      </c>
      <c r="O10">
        <v>1.4350000000000001</v>
      </c>
      <c r="P10">
        <v>1.22</v>
      </c>
      <c r="Q10">
        <v>1.2850000000000001</v>
      </c>
      <c r="R10">
        <v>1.1400000000000001</v>
      </c>
      <c r="S10">
        <v>1.1749999999999998</v>
      </c>
      <c r="T10">
        <v>1.17</v>
      </c>
      <c r="U10">
        <v>1.085</v>
      </c>
      <c r="V10">
        <v>1.1499999999999999</v>
      </c>
      <c r="W10">
        <v>1.4100000000000001</v>
      </c>
      <c r="X10">
        <v>1.1299999999999999</v>
      </c>
      <c r="Y10">
        <v>1.27</v>
      </c>
      <c r="Z10">
        <v>1.17</v>
      </c>
      <c r="AA10">
        <v>1.1949999999999998</v>
      </c>
      <c r="AB10">
        <v>1.33</v>
      </c>
      <c r="AC10">
        <v>1.4550000000000001</v>
      </c>
      <c r="AD10">
        <v>1.53</v>
      </c>
      <c r="AE10">
        <v>1.4350000000000001</v>
      </c>
      <c r="AF10">
        <v>1.35</v>
      </c>
      <c r="AG10">
        <v>1.3149999999999999</v>
      </c>
    </row>
    <row r="11" spans="1:33" x14ac:dyDescent="0.25">
      <c r="A11" t="s">
        <v>9</v>
      </c>
      <c r="B11">
        <v>1.06</v>
      </c>
      <c r="C11">
        <v>1.0899999999999999</v>
      </c>
      <c r="D11">
        <v>1.0649999999999999</v>
      </c>
      <c r="E11">
        <v>1.125</v>
      </c>
      <c r="F11">
        <v>1.32</v>
      </c>
      <c r="G11">
        <v>1.2749999999999999</v>
      </c>
      <c r="H11">
        <v>1.0449999999999999</v>
      </c>
      <c r="I11">
        <v>1.135</v>
      </c>
      <c r="J11">
        <v>1.1349999999999998</v>
      </c>
      <c r="K11">
        <v>1.1749999999999998</v>
      </c>
      <c r="L11">
        <v>1.2149999999999999</v>
      </c>
      <c r="M11">
        <v>1.3250000000000002</v>
      </c>
      <c r="N11">
        <v>1.2949999999999999</v>
      </c>
      <c r="O11">
        <v>1.3250000000000002</v>
      </c>
      <c r="P11">
        <v>1.24</v>
      </c>
      <c r="Q11">
        <v>1.25</v>
      </c>
      <c r="R11">
        <v>1.1549999999999998</v>
      </c>
      <c r="S11">
        <v>1.2</v>
      </c>
      <c r="T11">
        <v>1.0750000000000002</v>
      </c>
      <c r="U11">
        <v>1.165</v>
      </c>
      <c r="V11">
        <v>1.145</v>
      </c>
      <c r="W11">
        <v>1.17</v>
      </c>
      <c r="X11">
        <v>1.06</v>
      </c>
      <c r="Y11">
        <v>1.125</v>
      </c>
      <c r="Z11">
        <v>1.165</v>
      </c>
      <c r="AA11">
        <v>1.1299999999999999</v>
      </c>
      <c r="AB11">
        <v>1.26</v>
      </c>
      <c r="AC11">
        <v>1.3650000000000002</v>
      </c>
      <c r="AD11">
        <v>1.34</v>
      </c>
      <c r="AE11">
        <v>1.43</v>
      </c>
      <c r="AF11">
        <v>1.19</v>
      </c>
      <c r="AG11">
        <v>1.2349999999999999</v>
      </c>
    </row>
    <row r="12" spans="1:33" x14ac:dyDescent="0.25">
      <c r="A12" t="s">
        <v>10</v>
      </c>
      <c r="B12">
        <v>1.2</v>
      </c>
      <c r="C12">
        <v>1.1200000000000001</v>
      </c>
      <c r="D12">
        <v>1.18</v>
      </c>
      <c r="E12">
        <v>1.1400000000000001</v>
      </c>
      <c r="F12">
        <v>1.1000000000000001</v>
      </c>
      <c r="G12">
        <v>1.3399999999999999</v>
      </c>
      <c r="H12">
        <v>1.1749999999999998</v>
      </c>
      <c r="I12">
        <v>1.25</v>
      </c>
      <c r="J12">
        <v>1.1000000000000001</v>
      </c>
      <c r="K12">
        <v>1.1400000000000001</v>
      </c>
      <c r="L12">
        <v>1.2749999999999999</v>
      </c>
      <c r="M12">
        <v>1.365</v>
      </c>
      <c r="N12">
        <v>1.3599999999999999</v>
      </c>
      <c r="O12">
        <v>1.4249999999999998</v>
      </c>
      <c r="P12">
        <v>1.26</v>
      </c>
      <c r="Q12">
        <v>1.355</v>
      </c>
      <c r="R12">
        <v>1.1299999999999999</v>
      </c>
      <c r="S12">
        <v>1.2150000000000001</v>
      </c>
      <c r="T12">
        <v>1.1499999999999999</v>
      </c>
      <c r="U12">
        <v>1.0649999999999999</v>
      </c>
      <c r="V12">
        <v>1.04</v>
      </c>
      <c r="W12">
        <v>1.3049999999999999</v>
      </c>
      <c r="X12">
        <v>1.2450000000000001</v>
      </c>
      <c r="Y12">
        <v>1.2250000000000001</v>
      </c>
      <c r="Z12">
        <v>1.19</v>
      </c>
      <c r="AA12">
        <v>1.145</v>
      </c>
      <c r="AB12">
        <v>1.2850000000000001</v>
      </c>
      <c r="AC12">
        <v>1.3399999999999999</v>
      </c>
      <c r="AD12">
        <v>1.375</v>
      </c>
      <c r="AE12">
        <v>1.49</v>
      </c>
      <c r="AF12">
        <v>1.26</v>
      </c>
      <c r="AG12">
        <v>1.3050000000000002</v>
      </c>
    </row>
    <row r="13" spans="1:33" x14ac:dyDescent="0.25">
      <c r="A13" t="s">
        <v>11</v>
      </c>
      <c r="B13">
        <v>1.1200000000000001</v>
      </c>
      <c r="C13">
        <v>1.165</v>
      </c>
      <c r="D13">
        <v>1.165</v>
      </c>
      <c r="E13">
        <v>1.1850000000000001</v>
      </c>
      <c r="F13">
        <v>1.2450000000000001</v>
      </c>
      <c r="G13">
        <v>1.4</v>
      </c>
      <c r="H13">
        <v>1.1099999999999999</v>
      </c>
      <c r="I13">
        <v>1.24</v>
      </c>
      <c r="J13">
        <v>1.17</v>
      </c>
      <c r="K13">
        <v>1.2</v>
      </c>
      <c r="L13">
        <v>1.26</v>
      </c>
      <c r="M13">
        <v>1.375</v>
      </c>
      <c r="N13">
        <v>1.365</v>
      </c>
      <c r="O13">
        <v>1.585</v>
      </c>
      <c r="P13">
        <v>1.25</v>
      </c>
      <c r="Q13">
        <v>1.34</v>
      </c>
      <c r="R13">
        <v>1.21</v>
      </c>
      <c r="S13">
        <v>1.25</v>
      </c>
      <c r="T13">
        <v>1.29</v>
      </c>
      <c r="U13">
        <v>1.26</v>
      </c>
      <c r="V13">
        <v>1.1200000000000001</v>
      </c>
      <c r="W13">
        <v>1.4750000000000001</v>
      </c>
      <c r="X13">
        <v>1.1400000000000001</v>
      </c>
      <c r="Y13">
        <v>1.2949999999999999</v>
      </c>
      <c r="Z13">
        <v>1.2450000000000001</v>
      </c>
      <c r="AA13">
        <v>1.23</v>
      </c>
      <c r="AB13">
        <v>1.4500000000000002</v>
      </c>
      <c r="AC13">
        <v>1.38</v>
      </c>
      <c r="AD13">
        <v>1.59</v>
      </c>
      <c r="AE13">
        <v>1.6850000000000001</v>
      </c>
      <c r="AF13">
        <v>1.26</v>
      </c>
      <c r="AG13">
        <v>1.4550000000000001</v>
      </c>
    </row>
    <row r="14" spans="1:33" x14ac:dyDescent="0.25">
      <c r="A14" t="s">
        <v>12</v>
      </c>
      <c r="B14">
        <v>1.0550000000000002</v>
      </c>
      <c r="C14">
        <v>1.1150000000000002</v>
      </c>
      <c r="D14">
        <v>1.07</v>
      </c>
      <c r="E14">
        <v>1.19</v>
      </c>
      <c r="F14">
        <v>1.21</v>
      </c>
      <c r="G14">
        <v>1.4500000000000002</v>
      </c>
      <c r="H14">
        <v>1.05</v>
      </c>
      <c r="I14">
        <v>1.1749999999999998</v>
      </c>
      <c r="J14">
        <v>1.0550000000000002</v>
      </c>
      <c r="K14">
        <v>1.0950000000000002</v>
      </c>
      <c r="L14">
        <v>1.17</v>
      </c>
      <c r="M14">
        <v>1.25</v>
      </c>
      <c r="N14">
        <v>1.375</v>
      </c>
      <c r="O14">
        <v>1.4100000000000001</v>
      </c>
      <c r="P14">
        <v>1.2250000000000001</v>
      </c>
      <c r="Q14">
        <v>1.3599999999999999</v>
      </c>
      <c r="R14">
        <v>0.94</v>
      </c>
      <c r="S14">
        <v>1.115</v>
      </c>
      <c r="T14">
        <v>0.9</v>
      </c>
      <c r="U14">
        <v>1.22</v>
      </c>
      <c r="V14">
        <v>1.0750000000000002</v>
      </c>
      <c r="W14">
        <v>1.35</v>
      </c>
      <c r="X14">
        <v>1.085</v>
      </c>
      <c r="Y14">
        <v>1.0750000000000002</v>
      </c>
      <c r="Z14">
        <v>1.105</v>
      </c>
      <c r="AA14">
        <v>1.0550000000000002</v>
      </c>
      <c r="AB14">
        <v>1.24</v>
      </c>
      <c r="AC14">
        <v>1.4449999999999998</v>
      </c>
      <c r="AD14">
        <v>1.395</v>
      </c>
      <c r="AE14">
        <v>1.5649999999999999</v>
      </c>
      <c r="AF14">
        <v>1.21</v>
      </c>
      <c r="AG14">
        <v>1.31</v>
      </c>
    </row>
    <row r="15" spans="1:33" x14ac:dyDescent="0.25">
      <c r="A15" t="s">
        <v>13</v>
      </c>
      <c r="B15">
        <v>1.0350000000000001</v>
      </c>
      <c r="C15">
        <v>1.0649999999999999</v>
      </c>
      <c r="D15">
        <v>1.0049999999999999</v>
      </c>
      <c r="E15">
        <v>1.07</v>
      </c>
      <c r="F15">
        <v>1.07</v>
      </c>
      <c r="G15">
        <v>1.3049999999999999</v>
      </c>
      <c r="H15">
        <v>0.97499999999999998</v>
      </c>
      <c r="I15">
        <v>1.145</v>
      </c>
      <c r="J15">
        <v>1.04</v>
      </c>
      <c r="K15">
        <v>1.0750000000000002</v>
      </c>
      <c r="L15">
        <v>1.1499999999999999</v>
      </c>
      <c r="M15">
        <v>1.29</v>
      </c>
      <c r="N15">
        <v>1.2650000000000001</v>
      </c>
      <c r="O15">
        <v>1.2949999999999999</v>
      </c>
      <c r="P15">
        <v>1.21</v>
      </c>
      <c r="Q15">
        <v>1.165</v>
      </c>
      <c r="R15">
        <v>1.0550000000000002</v>
      </c>
      <c r="S15">
        <v>1.1200000000000001</v>
      </c>
      <c r="T15">
        <v>1.105</v>
      </c>
      <c r="U15">
        <v>1.1749999999999998</v>
      </c>
      <c r="V15">
        <v>1.0449999999999999</v>
      </c>
      <c r="W15">
        <v>1.2149999999999999</v>
      </c>
      <c r="X15">
        <v>1.0249999999999999</v>
      </c>
      <c r="Y15">
        <v>1.1949999999999998</v>
      </c>
      <c r="Z15">
        <v>1.0249999999999999</v>
      </c>
      <c r="AA15">
        <v>1.0900000000000001</v>
      </c>
      <c r="AB15">
        <v>1.2349999999999999</v>
      </c>
      <c r="AC15">
        <v>1.3</v>
      </c>
      <c r="AD15">
        <v>1.28</v>
      </c>
      <c r="AE15">
        <v>1.2850000000000001</v>
      </c>
      <c r="AF15">
        <v>1.25</v>
      </c>
      <c r="AG15">
        <v>1.2999999999999998</v>
      </c>
    </row>
    <row r="16" spans="1:33" x14ac:dyDescent="0.25">
      <c r="A16" t="s">
        <v>14</v>
      </c>
      <c r="B16">
        <v>1.08</v>
      </c>
      <c r="C16">
        <v>1.125</v>
      </c>
      <c r="D16">
        <v>1</v>
      </c>
      <c r="E16">
        <v>1.105</v>
      </c>
      <c r="F16">
        <v>1.1100000000000001</v>
      </c>
      <c r="G16">
        <v>1.675</v>
      </c>
      <c r="H16">
        <v>0.995</v>
      </c>
      <c r="I16">
        <v>1.385</v>
      </c>
      <c r="J16">
        <v>1.0150000000000001</v>
      </c>
      <c r="K16">
        <v>1.1000000000000001</v>
      </c>
      <c r="L16">
        <v>1.1749999999999998</v>
      </c>
      <c r="M16">
        <v>1.25</v>
      </c>
      <c r="N16">
        <v>1.18</v>
      </c>
      <c r="O16">
        <v>1.2450000000000001</v>
      </c>
      <c r="P16">
        <v>1.19</v>
      </c>
      <c r="Q16">
        <v>1.2350000000000001</v>
      </c>
      <c r="R16">
        <v>1.03</v>
      </c>
      <c r="S16">
        <v>1.1200000000000001</v>
      </c>
      <c r="T16">
        <v>1.0150000000000001</v>
      </c>
      <c r="U16">
        <v>1.05</v>
      </c>
      <c r="V16">
        <v>1.0049999999999999</v>
      </c>
      <c r="W16">
        <v>1.1000000000000001</v>
      </c>
      <c r="X16">
        <v>1.02</v>
      </c>
      <c r="Y16">
        <v>1.06</v>
      </c>
      <c r="Z16">
        <v>1.0899999999999999</v>
      </c>
      <c r="AA16">
        <v>1.1299999999999999</v>
      </c>
      <c r="AB16">
        <v>1.1749999999999998</v>
      </c>
      <c r="AC16">
        <v>1.2650000000000001</v>
      </c>
      <c r="AD16">
        <v>1.3</v>
      </c>
      <c r="AE16">
        <v>1.37</v>
      </c>
      <c r="AF16">
        <v>1.2450000000000001</v>
      </c>
      <c r="AG16">
        <v>1.3</v>
      </c>
    </row>
    <row r="17" spans="1:33" x14ac:dyDescent="0.25">
      <c r="A17" t="s">
        <v>15</v>
      </c>
      <c r="B17">
        <v>1.02</v>
      </c>
      <c r="C17">
        <v>0.99</v>
      </c>
      <c r="D17">
        <v>0.98</v>
      </c>
      <c r="E17">
        <v>1.2650000000000001</v>
      </c>
      <c r="F17">
        <v>1.1299999999999999</v>
      </c>
      <c r="G17">
        <v>1.1399999999999999</v>
      </c>
      <c r="H17">
        <v>0.95</v>
      </c>
      <c r="I17">
        <v>0.98</v>
      </c>
      <c r="J17">
        <v>1.05</v>
      </c>
      <c r="K17">
        <v>1.0649999999999999</v>
      </c>
      <c r="L17">
        <v>1.24</v>
      </c>
      <c r="M17">
        <v>1.2450000000000001</v>
      </c>
      <c r="N17">
        <v>1.23</v>
      </c>
      <c r="O17">
        <v>1.425</v>
      </c>
      <c r="P17">
        <v>1.1000000000000001</v>
      </c>
      <c r="Q17">
        <v>1.2250000000000001</v>
      </c>
      <c r="R17">
        <v>0.88500000000000001</v>
      </c>
      <c r="S17">
        <v>0.94500000000000006</v>
      </c>
      <c r="T17">
        <v>0.88500000000000001</v>
      </c>
      <c r="U17">
        <v>1.1299999999999999</v>
      </c>
      <c r="V17">
        <v>0.94500000000000006</v>
      </c>
      <c r="W17">
        <v>1.095</v>
      </c>
      <c r="X17">
        <v>0.86</v>
      </c>
      <c r="Y17">
        <v>0.97499999999999998</v>
      </c>
      <c r="Z17">
        <v>0.95499999999999996</v>
      </c>
      <c r="AA17">
        <v>1.0649999999999999</v>
      </c>
      <c r="AB17">
        <v>1.1850000000000001</v>
      </c>
      <c r="AC17">
        <v>1.31</v>
      </c>
      <c r="AD17">
        <v>1.4449999999999998</v>
      </c>
      <c r="AE17">
        <v>1.52</v>
      </c>
      <c r="AF17">
        <v>1.1099999999999999</v>
      </c>
      <c r="AG17">
        <v>1.3149999999999999</v>
      </c>
    </row>
    <row r="18" spans="1:33" x14ac:dyDescent="0.25">
      <c r="A18" t="s">
        <v>16</v>
      </c>
      <c r="B18">
        <v>1.1000000000000001</v>
      </c>
      <c r="C18">
        <v>1.1156666666666664</v>
      </c>
      <c r="D18">
        <v>1.1053333333333333</v>
      </c>
      <c r="E18">
        <v>1.1776666666666666</v>
      </c>
      <c r="F18">
        <v>1.1659999999999999</v>
      </c>
      <c r="G18">
        <v>1.3066666666666664</v>
      </c>
      <c r="H18">
        <v>1.0949999999999998</v>
      </c>
      <c r="I18">
        <v>1.1780000000000002</v>
      </c>
      <c r="J18">
        <v>1.1056666666666668</v>
      </c>
      <c r="K18">
        <v>1.1510000000000002</v>
      </c>
      <c r="L18">
        <v>1.2266666666666666</v>
      </c>
      <c r="M18">
        <v>1.3103333333333333</v>
      </c>
      <c r="N18">
        <v>1.3283333333333334</v>
      </c>
      <c r="O18">
        <v>1.4006666666666669</v>
      </c>
      <c r="P18">
        <v>1.2200000000000002</v>
      </c>
      <c r="Q18">
        <v>1.2696666666666667</v>
      </c>
      <c r="R18">
        <v>1.0693333333333332</v>
      </c>
      <c r="S18">
        <v>1.1460000000000001</v>
      </c>
      <c r="T18">
        <v>1.0563333333333336</v>
      </c>
      <c r="U18">
        <v>1.1393333333333331</v>
      </c>
      <c r="V18">
        <v>1.0489999999999999</v>
      </c>
      <c r="W18">
        <v>1.2336666666666665</v>
      </c>
      <c r="X18">
        <v>1.0413333333333334</v>
      </c>
      <c r="Y18">
        <v>1.1350000000000002</v>
      </c>
      <c r="Z18">
        <v>1.1146666666666667</v>
      </c>
      <c r="AA18">
        <v>1.1403333333333334</v>
      </c>
      <c r="AB18">
        <v>1.2613333333333334</v>
      </c>
      <c r="AC18">
        <v>1.3213333333333332</v>
      </c>
      <c r="AD18">
        <v>1.4140000000000001</v>
      </c>
      <c r="AE18">
        <v>1.4906666666666668</v>
      </c>
      <c r="AF18">
        <v>1.2450000000000001</v>
      </c>
      <c r="AG18">
        <v>1.3116666666666668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1.0963333333333332</v>
      </c>
      <c r="C20" s="3">
        <f t="shared" ref="C20:AG20" si="0">AVERAGE(C4:C18)</f>
        <v>1.1097111111111111</v>
      </c>
      <c r="D20" s="3">
        <f t="shared" si="0"/>
        <v>1.0903555555555553</v>
      </c>
      <c r="E20" s="3">
        <f t="shared" si="0"/>
        <v>1.1791777777777779</v>
      </c>
      <c r="F20" s="3">
        <f t="shared" si="0"/>
        <v>1.1490666666666667</v>
      </c>
      <c r="G20" s="3">
        <f t="shared" si="0"/>
        <v>1.2987777777777778</v>
      </c>
      <c r="H20" s="3">
        <f t="shared" si="0"/>
        <v>1.0743333333333329</v>
      </c>
      <c r="I20" s="3">
        <f t="shared" si="0"/>
        <v>1.1668666666666665</v>
      </c>
      <c r="J20" s="3">
        <f t="shared" si="0"/>
        <v>1.0977111111111111</v>
      </c>
      <c r="K20" s="3">
        <f t="shared" si="0"/>
        <v>1.1330666666666667</v>
      </c>
      <c r="L20" s="3">
        <f t="shared" si="0"/>
        <v>1.2167777777777777</v>
      </c>
      <c r="M20" s="3">
        <f t="shared" si="0"/>
        <v>1.3043555555555557</v>
      </c>
      <c r="N20" s="3">
        <f t="shared" si="0"/>
        <v>1.3228888888888888</v>
      </c>
      <c r="O20" s="3">
        <f t="shared" si="0"/>
        <v>1.3977111111111113</v>
      </c>
      <c r="P20" s="3">
        <f t="shared" si="0"/>
        <v>1.2126666666666666</v>
      </c>
      <c r="Q20" s="4">
        <f t="shared" si="0"/>
        <v>1.2709777777777778</v>
      </c>
      <c r="R20" s="2">
        <f t="shared" si="0"/>
        <v>1.0649555555555554</v>
      </c>
      <c r="S20" s="3">
        <f t="shared" si="0"/>
        <v>1.1380666666666668</v>
      </c>
      <c r="T20" s="3">
        <f t="shared" si="0"/>
        <v>1.0404222222222221</v>
      </c>
      <c r="U20" s="3">
        <f t="shared" si="0"/>
        <v>1.1312888888888888</v>
      </c>
      <c r="V20" s="3">
        <f t="shared" si="0"/>
        <v>1.0436000000000001</v>
      </c>
      <c r="W20" s="3">
        <f t="shared" si="0"/>
        <v>1.2269111111111111</v>
      </c>
      <c r="X20" s="3">
        <f t="shared" si="0"/>
        <v>1.0354222222222222</v>
      </c>
      <c r="Y20" s="3">
        <f t="shared" si="0"/>
        <v>1.1263333333333336</v>
      </c>
      <c r="Z20" s="3">
        <f t="shared" si="0"/>
        <v>1.1126444444444445</v>
      </c>
      <c r="AA20" s="3">
        <f t="shared" si="0"/>
        <v>1.1373555555555555</v>
      </c>
      <c r="AB20" s="3">
        <f t="shared" si="0"/>
        <v>1.2660888888888886</v>
      </c>
      <c r="AC20" s="3">
        <f t="shared" si="0"/>
        <v>1.3164222222222222</v>
      </c>
      <c r="AD20" s="3">
        <f t="shared" si="0"/>
        <v>1.4162666666666666</v>
      </c>
      <c r="AE20" s="3">
        <f t="shared" si="0"/>
        <v>1.4843777777777778</v>
      </c>
      <c r="AF20" s="3">
        <f t="shared" si="0"/>
        <v>1.2470000000000001</v>
      </c>
      <c r="AG20" s="3">
        <f t="shared" si="0"/>
        <v>1.3087777777777778</v>
      </c>
    </row>
    <row r="21" spans="1:33" x14ac:dyDescent="0.25">
      <c r="A21" s="2" t="s">
        <v>34</v>
      </c>
      <c r="B21" s="3">
        <f>_xlfn.STDEV.S(B4:B18)</f>
        <v>7.8682605326414898E-2</v>
      </c>
      <c r="C21" s="3">
        <f t="shared" ref="C21:AG21" si="1">_xlfn.STDEV.S(C4:C18)</f>
        <v>6.2238515440463424E-2</v>
      </c>
      <c r="D21" s="3">
        <f t="shared" si="1"/>
        <v>7.4394323331255202E-2</v>
      </c>
      <c r="E21" s="3">
        <f t="shared" si="1"/>
        <v>8.8920230585662619E-2</v>
      </c>
      <c r="F21" s="3">
        <f t="shared" si="1"/>
        <v>9.1258241636942933E-2</v>
      </c>
      <c r="G21" s="3">
        <f t="shared" si="1"/>
        <v>0.14184927539898462</v>
      </c>
      <c r="H21" s="3">
        <f t="shared" si="1"/>
        <v>8.1654032064442175E-2</v>
      </c>
      <c r="I21" s="3">
        <f t="shared" si="1"/>
        <v>0.10293608742923009</v>
      </c>
      <c r="J21" s="3">
        <f t="shared" si="1"/>
        <v>8.3003238287054568E-2</v>
      </c>
      <c r="K21" s="3">
        <f t="shared" si="1"/>
        <v>6.4545074689449852E-2</v>
      </c>
      <c r="L21" s="3">
        <f t="shared" si="1"/>
        <v>7.5952853658279237E-2</v>
      </c>
      <c r="M21" s="3">
        <f t="shared" si="1"/>
        <v>7.0100547590491585E-2</v>
      </c>
      <c r="N21" s="3">
        <f t="shared" si="1"/>
        <v>7.01626983004804E-2</v>
      </c>
      <c r="O21" s="3">
        <f t="shared" si="1"/>
        <v>9.4791824262907526E-2</v>
      </c>
      <c r="P21" s="3">
        <f t="shared" si="1"/>
        <v>6.4721013000489436E-2</v>
      </c>
      <c r="Q21" s="4">
        <f t="shared" si="1"/>
        <v>7.2560698911015353E-2</v>
      </c>
      <c r="R21" s="2">
        <f t="shared" si="1"/>
        <v>9.0709012053515753E-2</v>
      </c>
      <c r="S21" s="3">
        <f t="shared" si="1"/>
        <v>8.8096916328930935E-2</v>
      </c>
      <c r="T21" s="3">
        <f t="shared" si="1"/>
        <v>0.11556201294533995</v>
      </c>
      <c r="U21" s="3">
        <f t="shared" si="1"/>
        <v>6.2912747171092076E-2</v>
      </c>
      <c r="V21" s="3">
        <f t="shared" si="1"/>
        <v>6.9288011743941474E-2</v>
      </c>
      <c r="W21" s="3">
        <f t="shared" si="1"/>
        <v>0.12819358294780087</v>
      </c>
      <c r="X21" s="3">
        <f t="shared" si="1"/>
        <v>9.2268024579419516E-2</v>
      </c>
      <c r="Y21" s="3">
        <f t="shared" si="1"/>
        <v>0.10007973012030145</v>
      </c>
      <c r="Z21" s="3">
        <f t="shared" si="1"/>
        <v>7.7846865007747082E-2</v>
      </c>
      <c r="AA21" s="3">
        <f t="shared" si="1"/>
        <v>6.161239138750229E-2</v>
      </c>
      <c r="AB21" s="3">
        <f t="shared" si="1"/>
        <v>9.0117248729189053E-2</v>
      </c>
      <c r="AC21" s="3">
        <f t="shared" si="1"/>
        <v>9.4334045653264378E-2</v>
      </c>
      <c r="AD21" s="3">
        <f t="shared" si="1"/>
        <v>0.11461953627212984</v>
      </c>
      <c r="AE21" s="3">
        <f t="shared" si="1"/>
        <v>0.12725152362368894</v>
      </c>
      <c r="AF21" s="3">
        <f t="shared" si="1"/>
        <v>8.4172442046075893E-2</v>
      </c>
      <c r="AG21" s="3">
        <f t="shared" si="1"/>
        <v>9.1390203589713684E-2</v>
      </c>
    </row>
    <row r="22" spans="1:33" x14ac:dyDescent="0.25">
      <c r="A22" s="2" t="s">
        <v>35</v>
      </c>
      <c r="B22" s="3">
        <f>AVERAGE(B4:Q18)</f>
        <v>1.1950486111111116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1.193495833333333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0.12586239542812899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0.16148558344300243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1.1575166666666665</v>
      </c>
      <c r="C26" s="2">
        <f>AVERAGE(C20,E20,G20,I20,K20,M20,O20,Q20)</f>
        <v>1.2325805555555556</v>
      </c>
      <c r="E26" s="2">
        <f>AVERAGE(D20,E20,F20,G20,H20,I20)</f>
        <v>1.1597629629629629</v>
      </c>
      <c r="F26" s="2">
        <f>AVERAGE(L20:Q20)</f>
        <v>1.2875629629629628</v>
      </c>
      <c r="G26" s="2">
        <f>AVERAGE(B20,C20,J20,K20)</f>
        <v>1.1092055555555556</v>
      </c>
      <c r="Q26" s="5"/>
      <c r="R26" s="2">
        <f>AVERAGE(R20,T20,V20,X20,Z20,AB20,AD20,AF20)</f>
        <v>1.1533</v>
      </c>
      <c r="S26" s="2">
        <f>AVERAGE(S20,U20,W20,Y20,AA20,AC20,AE20,AG20)</f>
        <v>1.2336916666666666</v>
      </c>
      <c r="U26" s="2">
        <f>AVERAGE(T20:Y20)</f>
        <v>1.1006629629629632</v>
      </c>
      <c r="V26" s="2">
        <f>AVERAGE(AB20:AG20)</f>
        <v>1.339822222222222</v>
      </c>
      <c r="W26" s="2">
        <f>AVERAGE(R20:S20,Z20:AA20)</f>
        <v>1.1132555555555557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0.10638087692432781</v>
      </c>
      <c r="C28" s="3">
        <f t="shared" ref="C28:Q28" si="2">_xlfn.T.TEST(C4:C18,S4:S18,2,1)</f>
        <v>9.5061483055263574E-2</v>
      </c>
      <c r="D28" s="3">
        <f t="shared" si="2"/>
        <v>5.6893686273268046E-2</v>
      </c>
      <c r="E28" s="3">
        <f t="shared" si="2"/>
        <v>8.4035418875272161E-2</v>
      </c>
      <c r="F28" s="3">
        <f t="shared" si="2"/>
        <v>8.8380129401861558E-5</v>
      </c>
      <c r="G28" s="3">
        <f t="shared" si="2"/>
        <v>0.12909637501750459</v>
      </c>
      <c r="H28" s="3">
        <f t="shared" si="2"/>
        <v>8.5179635974532472E-2</v>
      </c>
      <c r="I28" s="3">
        <f t="shared" si="2"/>
        <v>0.16583952692902287</v>
      </c>
      <c r="J28" s="3">
        <f t="shared" si="2"/>
        <v>0.46958639400771152</v>
      </c>
      <c r="K28" s="3">
        <f t="shared" si="2"/>
        <v>0.79542542170971542</v>
      </c>
      <c r="L28" s="3">
        <f t="shared" si="2"/>
        <v>1.8718103161648989E-2</v>
      </c>
      <c r="M28" s="3">
        <f t="shared" si="2"/>
        <v>0.57090640243373514</v>
      </c>
      <c r="N28" s="3">
        <f t="shared" si="2"/>
        <v>1.4026054553475643E-3</v>
      </c>
      <c r="O28" s="3">
        <f t="shared" si="2"/>
        <v>1.067936319816201E-4</v>
      </c>
      <c r="P28" s="3">
        <f t="shared" si="2"/>
        <v>9.2325396203708793E-3</v>
      </c>
      <c r="Q28" s="3">
        <f t="shared" si="2"/>
        <v>7.6366390667668718E-2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1438.3267564733599</v>
      </c>
      <c r="C3">
        <v>1478.8143023149969</v>
      </c>
      <c r="D3">
        <v>1346.872232123646</v>
      </c>
      <c r="E3">
        <v>1457.0640499437741</v>
      </c>
      <c r="F3">
        <v>1322.5945229797835</v>
      </c>
      <c r="G3">
        <v>1610.4575731042046</v>
      </c>
      <c r="H3">
        <v>1457.0258959123635</v>
      </c>
      <c r="I3">
        <v>1562.376743709877</v>
      </c>
      <c r="J3">
        <v>1551.99427224598</v>
      </c>
      <c r="K3">
        <v>1526.6896450153904</v>
      </c>
      <c r="L3">
        <v>1618.9249331805281</v>
      </c>
      <c r="M3">
        <v>1557.8010336975397</v>
      </c>
      <c r="N3">
        <v>1574.1752309435697</v>
      </c>
      <c r="O3">
        <v>1530.0694982916334</v>
      </c>
      <c r="P3">
        <v>1559.8140610715352</v>
      </c>
      <c r="Q3">
        <v>1505.6804029853292</v>
      </c>
      <c r="R3">
        <v>1293.5607913699246</v>
      </c>
      <c r="S3">
        <v>1364.777869834852</v>
      </c>
      <c r="T3">
        <v>1345.525911426917</v>
      </c>
      <c r="U3">
        <v>1248.1227859513506</v>
      </c>
      <c r="V3">
        <v>1212.3392948912501</v>
      </c>
      <c r="W3">
        <v>1378.502285458253</v>
      </c>
      <c r="X3">
        <v>1264.9097155632535</v>
      </c>
      <c r="Y3">
        <v>1314.5644117831957</v>
      </c>
      <c r="Z3">
        <v>1349.0314932768993</v>
      </c>
      <c r="AA3">
        <v>1305.1977416441387</v>
      </c>
      <c r="AB3">
        <v>1553.1170689467524</v>
      </c>
      <c r="AC3">
        <v>1508.4113236051571</v>
      </c>
      <c r="AD3">
        <v>1458.754288114814</v>
      </c>
      <c r="AE3">
        <v>1459.5506229471239</v>
      </c>
      <c r="AF3">
        <v>1460.798664291045</v>
      </c>
      <c r="AG3">
        <v>1515.3858828308362</v>
      </c>
    </row>
    <row r="4" spans="1:33" x14ac:dyDescent="0.25">
      <c r="A4" t="s">
        <v>2</v>
      </c>
      <c r="B4">
        <v>1305.6000703763275</v>
      </c>
      <c r="C4">
        <v>1357.0296978353495</v>
      </c>
      <c r="D4">
        <v>1229.6444836501869</v>
      </c>
      <c r="E4">
        <v>1396.2350571569709</v>
      </c>
      <c r="F4">
        <v>1251.3101059406808</v>
      </c>
      <c r="G4">
        <v>1364.1649551716305</v>
      </c>
      <c r="H4">
        <v>1304.7825890655067</v>
      </c>
      <c r="I4">
        <v>1315.3004241374599</v>
      </c>
      <c r="J4">
        <v>1436.8904494581279</v>
      </c>
      <c r="K4">
        <v>1349.8452286862566</v>
      </c>
      <c r="L4">
        <v>1485.7332859930616</v>
      </c>
      <c r="M4">
        <v>1422.9547211279923</v>
      </c>
      <c r="N4">
        <v>1481.0901882448261</v>
      </c>
      <c r="O4">
        <v>1514.7143828964684</v>
      </c>
      <c r="P4">
        <v>1524.4375862839775</v>
      </c>
      <c r="Q4">
        <v>1389.5691534273863</v>
      </c>
      <c r="R4">
        <v>1285.089216134847</v>
      </c>
      <c r="S4">
        <v>1241.3972594449688</v>
      </c>
      <c r="T4">
        <v>1239.1192286596545</v>
      </c>
      <c r="U4">
        <v>1325.9450962018259</v>
      </c>
      <c r="V4">
        <v>1191.1829091712211</v>
      </c>
      <c r="W4">
        <v>1347.8640960939319</v>
      </c>
      <c r="X4">
        <v>1216.422852670988</v>
      </c>
      <c r="Y4">
        <v>1229.763407479561</v>
      </c>
      <c r="Z4">
        <v>1438.0186148043599</v>
      </c>
      <c r="AA4">
        <v>1353.1450923770926</v>
      </c>
      <c r="AB4">
        <v>1295.9275958647363</v>
      </c>
      <c r="AC4">
        <v>1310.2498104341623</v>
      </c>
      <c r="AD4">
        <v>1430.7463322408601</v>
      </c>
      <c r="AE4">
        <v>1629.125938255117</v>
      </c>
      <c r="AF4">
        <v>1391.8323484210528</v>
      </c>
      <c r="AG4">
        <v>1398.5039733329872</v>
      </c>
    </row>
    <row r="5" spans="1:33" x14ac:dyDescent="0.25">
      <c r="A5" t="s">
        <v>3</v>
      </c>
      <c r="B5">
        <v>1444.3634642760226</v>
      </c>
      <c r="C5">
        <v>1471.5979168824442</v>
      </c>
      <c r="D5">
        <v>1567.8415131694446</v>
      </c>
      <c r="E5">
        <v>1713.205195010823</v>
      </c>
      <c r="F5">
        <v>1458.2210143206075</v>
      </c>
      <c r="G5">
        <v>1443.225551467126</v>
      </c>
      <c r="H5">
        <v>1672.1825215123731</v>
      </c>
      <c r="I5">
        <v>1388.8415661317217</v>
      </c>
      <c r="J5">
        <v>1497.8722469604513</v>
      </c>
      <c r="K5">
        <v>1520.9218616634621</v>
      </c>
      <c r="L5">
        <v>1426.3266846167996</v>
      </c>
      <c r="M5">
        <v>1594.714347745386</v>
      </c>
      <c r="N5">
        <v>1913.23430194618</v>
      </c>
      <c r="O5">
        <v>1996.02581078815</v>
      </c>
      <c r="P5">
        <v>1571.8445419327327</v>
      </c>
      <c r="Q5">
        <v>1431.6894855955115</v>
      </c>
      <c r="R5">
        <v>1366.3049703789447</v>
      </c>
      <c r="S5">
        <v>1306.6500461370124</v>
      </c>
      <c r="T5">
        <v>1295.1606268255498</v>
      </c>
      <c r="U5">
        <v>1220.7993421944129</v>
      </c>
      <c r="V5">
        <v>1173.6594201691414</v>
      </c>
      <c r="W5">
        <v>1235.559117923583</v>
      </c>
      <c r="X5">
        <v>1221.5916829518899</v>
      </c>
      <c r="Y5">
        <v>1194.979935318933</v>
      </c>
      <c r="Z5">
        <v>1335.7625150270119</v>
      </c>
      <c r="AA5">
        <v>1258.2096580053308</v>
      </c>
      <c r="AB5">
        <v>1511.4738526066867</v>
      </c>
      <c r="AC5">
        <v>1530.7318469721547</v>
      </c>
      <c r="AD5">
        <v>2016.7313918045215</v>
      </c>
      <c r="AE5">
        <v>1944.8785910370457</v>
      </c>
      <c r="AF5">
        <v>1490.8507291169308</v>
      </c>
      <c r="AG5">
        <v>1657.206949288925</v>
      </c>
    </row>
    <row r="6" spans="1:33" x14ac:dyDescent="0.25">
      <c r="A6" t="s">
        <v>4</v>
      </c>
      <c r="B6">
        <v>1544.7186385511468</v>
      </c>
      <c r="C6">
        <v>1536.0142942764001</v>
      </c>
      <c r="D6">
        <v>1422.7381525555188</v>
      </c>
      <c r="E6">
        <v>1421.518800202522</v>
      </c>
      <c r="F6">
        <v>1362.0198603239025</v>
      </c>
      <c r="G6">
        <v>1449.6876160735328</v>
      </c>
      <c r="H6">
        <v>1425.1089278397546</v>
      </c>
      <c r="I6">
        <v>1431.7501644573442</v>
      </c>
      <c r="J6">
        <v>1380.9121351727072</v>
      </c>
      <c r="K6">
        <v>1437.5514408012427</v>
      </c>
      <c r="L6">
        <v>1497.0781498421788</v>
      </c>
      <c r="M6">
        <v>1505.4689608495214</v>
      </c>
      <c r="N6">
        <v>1597.0114649710931</v>
      </c>
      <c r="O6">
        <v>1490.2617230887204</v>
      </c>
      <c r="P6">
        <v>1570.1227053460134</v>
      </c>
      <c r="Q6">
        <v>1543.3358247325923</v>
      </c>
      <c r="R6">
        <v>1263.426955301029</v>
      </c>
      <c r="S6">
        <v>1422.6624499564591</v>
      </c>
      <c r="T6">
        <v>1259.6932623102548</v>
      </c>
      <c r="U6">
        <v>1259.2432622455317</v>
      </c>
      <c r="V6">
        <v>1213.0036174031395</v>
      </c>
      <c r="W6">
        <v>1198.0977503783945</v>
      </c>
      <c r="X6">
        <v>1231.0913676639238</v>
      </c>
      <c r="Y6">
        <v>1291.0788299525441</v>
      </c>
      <c r="Z6">
        <v>1334.5762733269873</v>
      </c>
      <c r="AA6">
        <v>1322.6402408817389</v>
      </c>
      <c r="AB6">
        <v>1535.7817585778359</v>
      </c>
      <c r="AC6">
        <v>1439.6146136278994</v>
      </c>
      <c r="AD6">
        <v>1556.1082841328043</v>
      </c>
      <c r="AE6">
        <v>1581.970459644423</v>
      </c>
      <c r="AF6">
        <v>1430.9375818256262</v>
      </c>
      <c r="AG6">
        <v>1372.0675158489792</v>
      </c>
    </row>
    <row r="7" spans="1:33" x14ac:dyDescent="0.25">
      <c r="A7" t="s">
        <v>5</v>
      </c>
      <c r="B7">
        <v>1669.5883099557773</v>
      </c>
      <c r="C7">
        <v>1678.988799948524</v>
      </c>
      <c r="D7">
        <v>1600.2119000527691</v>
      </c>
      <c r="E7">
        <v>1620.4016440740857</v>
      </c>
      <c r="F7">
        <v>1436.4471531595088</v>
      </c>
      <c r="G7">
        <v>1603.3056522502484</v>
      </c>
      <c r="H7">
        <v>1557.8792777666699</v>
      </c>
      <c r="I7">
        <v>1544.5616182689216</v>
      </c>
      <c r="J7">
        <v>1518.0474701892401</v>
      </c>
      <c r="K7">
        <v>1514.7138298801372</v>
      </c>
      <c r="L7">
        <v>1625.4193561311442</v>
      </c>
      <c r="M7">
        <v>1876.2275352767579</v>
      </c>
      <c r="N7">
        <v>1869.57354909787</v>
      </c>
      <c r="O7">
        <v>1935.3363665584304</v>
      </c>
      <c r="P7">
        <v>1675.1407128365918</v>
      </c>
      <c r="Q7">
        <v>1830.1682417079292</v>
      </c>
      <c r="R7">
        <v>1313.4528725337314</v>
      </c>
      <c r="S7">
        <v>1297.3392448208651</v>
      </c>
      <c r="T7">
        <v>1211.5218544457989</v>
      </c>
      <c r="U7">
        <v>1239.3995061310263</v>
      </c>
      <c r="V7">
        <v>1223.8409080956542</v>
      </c>
      <c r="W7">
        <v>1207.2941680298545</v>
      </c>
      <c r="X7">
        <v>1281.9178491778739</v>
      </c>
      <c r="Y7">
        <v>1276.4764897449597</v>
      </c>
      <c r="Z7">
        <v>1514.4607310490751</v>
      </c>
      <c r="AA7">
        <v>1506.3977007757194</v>
      </c>
      <c r="AB7">
        <v>1637.4134609574305</v>
      </c>
      <c r="AC7">
        <v>1647.4202926163293</v>
      </c>
      <c r="AD7">
        <v>1916.3516718519927</v>
      </c>
      <c r="AE7">
        <v>1771.4307437487967</v>
      </c>
      <c r="AF7">
        <v>1546.7183598002757</v>
      </c>
      <c r="AG7">
        <v>1671.643887976812</v>
      </c>
    </row>
    <row r="8" spans="1:33" x14ac:dyDescent="0.25">
      <c r="A8" t="s">
        <v>6</v>
      </c>
      <c r="B8">
        <v>1518.4014271298356</v>
      </c>
      <c r="C8">
        <v>1591.8928852394736</v>
      </c>
      <c r="D8">
        <v>1506.5142533500507</v>
      </c>
      <c r="E8">
        <v>1458.9421777380908</v>
      </c>
      <c r="F8">
        <v>1506.1410917212556</v>
      </c>
      <c r="G8">
        <v>1590.6996081528919</v>
      </c>
      <c r="H8">
        <v>1409.1385184440592</v>
      </c>
      <c r="I8">
        <v>1539.0129795647138</v>
      </c>
      <c r="J8">
        <v>1582.8504503402983</v>
      </c>
      <c r="K8">
        <v>1584.4966514538812</v>
      </c>
      <c r="L8">
        <v>1579.641333170654</v>
      </c>
      <c r="M8">
        <v>1725.3961441852955</v>
      </c>
      <c r="N8">
        <v>1740.3709841367242</v>
      </c>
      <c r="O8">
        <v>1787.256424714431</v>
      </c>
      <c r="P8">
        <v>1724.1313783722439</v>
      </c>
      <c r="Q8">
        <v>1637.8346598758214</v>
      </c>
      <c r="R8">
        <v>1701.1216046566601</v>
      </c>
      <c r="S8">
        <v>1775.7687642055357</v>
      </c>
      <c r="T8">
        <v>1269.0810680552079</v>
      </c>
      <c r="U8">
        <v>1342.9152409574858</v>
      </c>
      <c r="V8">
        <v>1110.2133849938411</v>
      </c>
      <c r="W8">
        <v>1151.897953257675</v>
      </c>
      <c r="X8">
        <v>1199.5499784981448</v>
      </c>
      <c r="Y8">
        <v>1202.295914659569</v>
      </c>
      <c r="Z8">
        <v>1544.0779997945185</v>
      </c>
      <c r="AA8">
        <v>1515.8999456805896</v>
      </c>
      <c r="AB8">
        <v>2157.0840627903908</v>
      </c>
      <c r="AC8">
        <v>2152.9859656938652</v>
      </c>
      <c r="AD8">
        <v>2462.502682192971</v>
      </c>
      <c r="AE8">
        <v>2616.58363944548</v>
      </c>
      <c r="AF8">
        <v>2059.0738306389489</v>
      </c>
      <c r="AG8">
        <v>2310.5676131803775</v>
      </c>
    </row>
    <row r="9" spans="1:33" x14ac:dyDescent="0.25">
      <c r="A9" t="s">
        <v>7</v>
      </c>
      <c r="B9">
        <v>1276.8808284859281</v>
      </c>
      <c r="C9">
        <v>1249.7695005095306</v>
      </c>
      <c r="D9">
        <v>1223.7704035272318</v>
      </c>
      <c r="E9">
        <v>1226.0497986928108</v>
      </c>
      <c r="F9">
        <v>1197.5877042487725</v>
      </c>
      <c r="G9">
        <v>1223.7139841147452</v>
      </c>
      <c r="H9">
        <v>1181.9725601875434</v>
      </c>
      <c r="I9">
        <v>1259.3515591980322</v>
      </c>
      <c r="J9">
        <v>1261.432518849005</v>
      </c>
      <c r="K9">
        <v>1283.9713812359819</v>
      </c>
      <c r="L9">
        <v>1319.3746913766247</v>
      </c>
      <c r="M9">
        <v>1438.515268971948</v>
      </c>
      <c r="N9">
        <v>1431.3263851101569</v>
      </c>
      <c r="O9">
        <v>1440.3659062152753</v>
      </c>
      <c r="P9">
        <v>1361.6939490576749</v>
      </c>
      <c r="Q9">
        <v>1477.6244381690467</v>
      </c>
      <c r="R9">
        <v>1262.3102458421076</v>
      </c>
      <c r="S9">
        <v>1470.961019659253</v>
      </c>
      <c r="T9">
        <v>1195.0499389785589</v>
      </c>
      <c r="U9">
        <v>1276.8116050416111</v>
      </c>
      <c r="V9">
        <v>1196.573440993745</v>
      </c>
      <c r="W9">
        <v>1227.1976710874269</v>
      </c>
      <c r="X9">
        <v>1163.0011465166569</v>
      </c>
      <c r="Y9">
        <v>1311.9934757984729</v>
      </c>
      <c r="Z9">
        <v>1366.5292539957288</v>
      </c>
      <c r="AA9">
        <v>1269.1338679538931</v>
      </c>
      <c r="AB9">
        <v>1549.3253083824616</v>
      </c>
      <c r="AC9">
        <v>1605.3385718292238</v>
      </c>
      <c r="AD9">
        <v>1637.4594185282394</v>
      </c>
      <c r="AE9">
        <v>1668.8481175627303</v>
      </c>
      <c r="AF9">
        <v>1472.2018193847541</v>
      </c>
      <c r="AG9">
        <v>1569.1946120487542</v>
      </c>
    </row>
    <row r="10" spans="1:33" x14ac:dyDescent="0.25">
      <c r="A10" t="s">
        <v>8</v>
      </c>
      <c r="B10">
        <v>1550.9033075299176</v>
      </c>
      <c r="C10">
        <v>1472.1585793302463</v>
      </c>
      <c r="D10">
        <v>1415.2472482903559</v>
      </c>
      <c r="E10">
        <v>1460.23931869902</v>
      </c>
      <c r="F10">
        <v>1332.1748616780483</v>
      </c>
      <c r="G10">
        <v>1431.0846599329855</v>
      </c>
      <c r="H10">
        <v>1432.4458145983644</v>
      </c>
      <c r="I10">
        <v>1388.3097975537362</v>
      </c>
      <c r="J10">
        <v>1360.0487762885114</v>
      </c>
      <c r="K10">
        <v>1466.1045491524251</v>
      </c>
      <c r="L10">
        <v>1591.2349173002281</v>
      </c>
      <c r="M10">
        <v>1392.0164428779954</v>
      </c>
      <c r="N10">
        <v>1534.5216944042709</v>
      </c>
      <c r="O10">
        <v>1558.9253152164042</v>
      </c>
      <c r="P10">
        <v>1493.4523178986942</v>
      </c>
      <c r="Q10">
        <v>1635.6484725576734</v>
      </c>
      <c r="R10">
        <v>1258.1767916772642</v>
      </c>
      <c r="S10">
        <v>1295.2274072333539</v>
      </c>
      <c r="T10">
        <v>1139.977717013679</v>
      </c>
      <c r="U10">
        <v>1168.4919939008166</v>
      </c>
      <c r="V10">
        <v>1111.2737531731786</v>
      </c>
      <c r="W10">
        <v>1292.3569786805313</v>
      </c>
      <c r="X10">
        <v>1244.9658802328677</v>
      </c>
      <c r="Y10">
        <v>1233.6529172659129</v>
      </c>
      <c r="Z10">
        <v>1527.4110275554924</v>
      </c>
      <c r="AA10">
        <v>1434.0655321379604</v>
      </c>
      <c r="AB10">
        <v>1519.5997401961772</v>
      </c>
      <c r="AC10">
        <v>1571.4068715852909</v>
      </c>
      <c r="AD10">
        <v>1485.2239203460927</v>
      </c>
      <c r="AE10">
        <v>1508.8315106011773</v>
      </c>
      <c r="AF10">
        <v>1465.1555028471175</v>
      </c>
      <c r="AG10">
        <v>1401.3588611734076</v>
      </c>
    </row>
    <row r="11" spans="1:33" x14ac:dyDescent="0.25">
      <c r="A11" t="s">
        <v>9</v>
      </c>
      <c r="B11">
        <v>1338.7969223804312</v>
      </c>
      <c r="C11">
        <v>1309.9812792109681</v>
      </c>
      <c r="D11">
        <v>1225.0797878904914</v>
      </c>
      <c r="E11">
        <v>1285.1223734985128</v>
      </c>
      <c r="F11">
        <v>1334.5985609099448</v>
      </c>
      <c r="G11">
        <v>1184.3189950329679</v>
      </c>
      <c r="H11">
        <v>1343.8128738402156</v>
      </c>
      <c r="I11">
        <v>1242.5061226608084</v>
      </c>
      <c r="J11">
        <v>1264.434739181399</v>
      </c>
      <c r="K11">
        <v>1253.5370527652221</v>
      </c>
      <c r="L11">
        <v>1359.8676676892951</v>
      </c>
      <c r="M11">
        <v>1533.4834503628549</v>
      </c>
      <c r="N11">
        <v>1364.4367493829077</v>
      </c>
      <c r="O11">
        <v>1357.9438300200882</v>
      </c>
      <c r="P11">
        <v>1248.5191179550438</v>
      </c>
      <c r="Q11">
        <v>1348.5075018692437</v>
      </c>
      <c r="R11">
        <v>1375.4349642626985</v>
      </c>
      <c r="S11">
        <v>1414.9680335389507</v>
      </c>
      <c r="T11">
        <v>1190.8042014258078</v>
      </c>
      <c r="U11">
        <v>1291.2256322813623</v>
      </c>
      <c r="V11">
        <v>1133.6389359366417</v>
      </c>
      <c r="W11">
        <v>1175.7015510155647</v>
      </c>
      <c r="X11">
        <v>1226.1319522977014</v>
      </c>
      <c r="Y11">
        <v>1244.7541202014115</v>
      </c>
      <c r="Z11">
        <v>1407.1700627405432</v>
      </c>
      <c r="AA11">
        <v>1274.6805078311631</v>
      </c>
      <c r="AB11">
        <v>1480.7691358434654</v>
      </c>
      <c r="AC11">
        <v>1555.7103525945595</v>
      </c>
      <c r="AD11">
        <v>1595.5098078060539</v>
      </c>
      <c r="AE11">
        <v>1568.3370285879832</v>
      </c>
      <c r="AF11">
        <v>1447.34751598304</v>
      </c>
      <c r="AG11">
        <v>1427.2099897215398</v>
      </c>
    </row>
    <row r="12" spans="1:33" x14ac:dyDescent="0.25">
      <c r="A12" t="s">
        <v>10</v>
      </c>
      <c r="B12">
        <v>1410.9621017751174</v>
      </c>
      <c r="C12">
        <v>1344.0065361841384</v>
      </c>
      <c r="D12">
        <v>1290.1139025296002</v>
      </c>
      <c r="E12">
        <v>1269.8133992485291</v>
      </c>
      <c r="F12">
        <v>1215.260531521657</v>
      </c>
      <c r="G12">
        <v>1179.4449098192745</v>
      </c>
      <c r="H12">
        <v>1347.0508810684451</v>
      </c>
      <c r="I12">
        <v>1336.7778390037647</v>
      </c>
      <c r="J12">
        <v>1365.2282202411275</v>
      </c>
      <c r="K12">
        <v>1349.878678889535</v>
      </c>
      <c r="L12">
        <v>1517.8661970208964</v>
      </c>
      <c r="M12">
        <v>1533.0445947718435</v>
      </c>
      <c r="N12">
        <v>1604.1432907565063</v>
      </c>
      <c r="O12">
        <v>1634.0622158308731</v>
      </c>
      <c r="P12">
        <v>1396.9436612072504</v>
      </c>
      <c r="Q12">
        <v>1523.9276992582545</v>
      </c>
      <c r="R12">
        <v>1232.8519118386416</v>
      </c>
      <c r="S12">
        <v>1291.9285358011591</v>
      </c>
      <c r="T12">
        <v>1140.8010119263981</v>
      </c>
      <c r="U12">
        <v>1157.3691401098829</v>
      </c>
      <c r="V12">
        <v>1091.3534475418692</v>
      </c>
      <c r="W12">
        <v>1200.7047138968214</v>
      </c>
      <c r="X12">
        <v>1237.4160001162959</v>
      </c>
      <c r="Y12">
        <v>1219.3861458345887</v>
      </c>
      <c r="Z12">
        <v>1377.2382607596774</v>
      </c>
      <c r="AA12">
        <v>1356.2668940914461</v>
      </c>
      <c r="AB12">
        <v>1748.9818947910908</v>
      </c>
      <c r="AC12">
        <v>1734.9015337676319</v>
      </c>
      <c r="AD12">
        <v>1728.6471461671265</v>
      </c>
      <c r="AE12">
        <v>1774.9246339519877</v>
      </c>
      <c r="AF12">
        <v>1460.1868210743805</v>
      </c>
      <c r="AG12">
        <v>1441.3098078949374</v>
      </c>
    </row>
    <row r="13" spans="1:33" x14ac:dyDescent="0.25">
      <c r="A13" t="s">
        <v>11</v>
      </c>
      <c r="B13">
        <v>1220.3423724676425</v>
      </c>
      <c r="C13">
        <v>1299.6285456830619</v>
      </c>
      <c r="D13">
        <v>1211.2732578826303</v>
      </c>
      <c r="E13">
        <v>1174.83947072467</v>
      </c>
      <c r="F13">
        <v>1153.5250052745664</v>
      </c>
      <c r="G13">
        <v>1230.276861875534</v>
      </c>
      <c r="H13">
        <v>1184.949168007241</v>
      </c>
      <c r="I13">
        <v>1146.6402550097375</v>
      </c>
      <c r="J13">
        <v>1212.6914406477981</v>
      </c>
      <c r="K13">
        <v>1207.3255680207349</v>
      </c>
      <c r="L13">
        <v>1274.0601477017267</v>
      </c>
      <c r="M13">
        <v>1297.2540956731764</v>
      </c>
      <c r="N13">
        <v>1388.6657757338919</v>
      </c>
      <c r="O13">
        <v>1461.2626570694119</v>
      </c>
      <c r="P13">
        <v>1364.7046027725303</v>
      </c>
      <c r="Q13">
        <v>1304.7797442350852</v>
      </c>
      <c r="R13">
        <v>1278.3386766156841</v>
      </c>
      <c r="S13">
        <v>1266.9512302703738</v>
      </c>
      <c r="T13">
        <v>1163.2251690093231</v>
      </c>
      <c r="U13">
        <v>1213.0979885574693</v>
      </c>
      <c r="V13">
        <v>1123.0036218341909</v>
      </c>
      <c r="W13">
        <v>1151.0360692050658</v>
      </c>
      <c r="X13">
        <v>1083.5435153446388</v>
      </c>
      <c r="Y13">
        <v>1205.7398894778376</v>
      </c>
      <c r="Z13">
        <v>1252.2267262528446</v>
      </c>
      <c r="AA13">
        <v>1186.6846220410662</v>
      </c>
      <c r="AB13">
        <v>1579.7334209587598</v>
      </c>
      <c r="AC13">
        <v>1409.6323296481542</v>
      </c>
      <c r="AD13">
        <v>1678.70325201335</v>
      </c>
      <c r="AE13">
        <v>1797.8289647817364</v>
      </c>
      <c r="AF13">
        <v>1440.1239244956919</v>
      </c>
      <c r="AG13">
        <v>1557.7090185931067</v>
      </c>
    </row>
    <row r="14" spans="1:33" x14ac:dyDescent="0.25">
      <c r="A14" t="s">
        <v>12</v>
      </c>
      <c r="B14">
        <v>1629.821353892173</v>
      </c>
      <c r="C14">
        <v>1661.3323485380308</v>
      </c>
      <c r="D14">
        <v>1558.3276118719336</v>
      </c>
      <c r="E14">
        <v>1524.1569041033106</v>
      </c>
      <c r="F14">
        <v>1460.4811020526117</v>
      </c>
      <c r="G14">
        <v>1542.5405720563012</v>
      </c>
      <c r="H14">
        <v>1630.074374988571</v>
      </c>
      <c r="I14">
        <v>1553.5841925222946</v>
      </c>
      <c r="J14">
        <v>1557.1447726275173</v>
      </c>
      <c r="K14">
        <v>1662.3191931361134</v>
      </c>
      <c r="L14">
        <v>1688.987814818463</v>
      </c>
      <c r="M14">
        <v>1504.070155149891</v>
      </c>
      <c r="N14">
        <v>1778.8159605691189</v>
      </c>
      <c r="O14">
        <v>1919.2131272976148</v>
      </c>
      <c r="P14">
        <v>1686.2041128826982</v>
      </c>
      <c r="Q14">
        <v>1552.0345050629019</v>
      </c>
      <c r="R14">
        <v>1163.8688606400415</v>
      </c>
      <c r="S14">
        <v>1353.2207354489933</v>
      </c>
      <c r="T14">
        <v>1127.1391262114103</v>
      </c>
      <c r="U14">
        <v>1253.3560045597449</v>
      </c>
      <c r="V14">
        <v>1107.1480473095767</v>
      </c>
      <c r="W14">
        <v>1206.5427862676934</v>
      </c>
      <c r="X14">
        <v>1212.2163576490739</v>
      </c>
      <c r="Y14">
        <v>1212.4701482942983</v>
      </c>
      <c r="Z14">
        <v>1373.6561239401897</v>
      </c>
      <c r="AA14">
        <v>1228.6901116684016</v>
      </c>
      <c r="AB14">
        <v>1295.7443175232838</v>
      </c>
      <c r="AC14">
        <v>1562.6201516146557</v>
      </c>
      <c r="AD14">
        <v>1497.4145800339056</v>
      </c>
      <c r="AE14">
        <v>1711.3968017963384</v>
      </c>
      <c r="AF14">
        <v>1423.3762565022334</v>
      </c>
      <c r="AG14">
        <v>1433.6425297327748</v>
      </c>
    </row>
    <row r="15" spans="1:33" x14ac:dyDescent="0.25">
      <c r="A15" t="s">
        <v>13</v>
      </c>
      <c r="B15">
        <v>1333.0998288696269</v>
      </c>
      <c r="C15">
        <v>1364.6491148031396</v>
      </c>
      <c r="D15">
        <v>1295.1757663536855</v>
      </c>
      <c r="E15">
        <v>1273.1564459868373</v>
      </c>
      <c r="F15">
        <v>1291.4856058965111</v>
      </c>
      <c r="G15">
        <v>1360.6621921072265</v>
      </c>
      <c r="H15">
        <v>1338.5568885034509</v>
      </c>
      <c r="I15">
        <v>1360.1959741599871</v>
      </c>
      <c r="J15">
        <v>1393.4277709870189</v>
      </c>
      <c r="K15">
        <v>1353.5854508057205</v>
      </c>
      <c r="L15">
        <v>1488.5462722111556</v>
      </c>
      <c r="M15">
        <v>1488.0144562172532</v>
      </c>
      <c r="N15">
        <v>1489.2520583544674</v>
      </c>
      <c r="O15">
        <v>1500.4103497130109</v>
      </c>
      <c r="P15">
        <v>1399.1374342563304</v>
      </c>
      <c r="Q15">
        <v>1382.5137850670028</v>
      </c>
      <c r="R15">
        <v>1269.2598887399154</v>
      </c>
      <c r="S15">
        <v>1145.4678286012213</v>
      </c>
      <c r="T15">
        <v>1209.7174501441434</v>
      </c>
      <c r="U15">
        <v>1176.5022254620123</v>
      </c>
      <c r="V15">
        <v>1094.7513661226303</v>
      </c>
      <c r="W15">
        <v>1200.2632132270739</v>
      </c>
      <c r="X15">
        <v>1111.961115470456</v>
      </c>
      <c r="Y15">
        <v>1255.6662886626543</v>
      </c>
      <c r="Z15">
        <v>1136.6611016794905</v>
      </c>
      <c r="AA15">
        <v>1204.2454657486032</v>
      </c>
      <c r="AB15">
        <v>1258.9626293628785</v>
      </c>
      <c r="AC15">
        <v>1416.5033767666469</v>
      </c>
      <c r="AD15">
        <v>1341.7144986652486</v>
      </c>
      <c r="AE15">
        <v>1334.4805651120255</v>
      </c>
      <c r="AF15">
        <v>1339.2247230039061</v>
      </c>
      <c r="AG15">
        <v>1349.3808242483942</v>
      </c>
    </row>
    <row r="16" spans="1:33" x14ac:dyDescent="0.25">
      <c r="A16" t="s">
        <v>14</v>
      </c>
      <c r="B16">
        <v>1395.9689551964416</v>
      </c>
      <c r="C16">
        <v>1471.4620657314772</v>
      </c>
      <c r="D16">
        <v>1389.4299497783884</v>
      </c>
      <c r="E16">
        <v>1402.595924110025</v>
      </c>
      <c r="F16">
        <v>1406.5607247087994</v>
      </c>
      <c r="G16">
        <v>1725.003757486563</v>
      </c>
      <c r="H16">
        <v>1464.5952301950711</v>
      </c>
      <c r="I16">
        <v>1400.8212907231014</v>
      </c>
      <c r="J16">
        <v>1404.0005033991401</v>
      </c>
      <c r="K16">
        <v>1469.6016337022247</v>
      </c>
      <c r="L16">
        <v>1617.3058672211914</v>
      </c>
      <c r="M16">
        <v>1597.2509344958175</v>
      </c>
      <c r="N16">
        <v>1458.2197098667168</v>
      </c>
      <c r="O16">
        <v>1561.6826044830748</v>
      </c>
      <c r="P16">
        <v>1581.4507254091859</v>
      </c>
      <c r="Q16">
        <v>1576.0107595752279</v>
      </c>
      <c r="R16">
        <v>1363.3601673129158</v>
      </c>
      <c r="S16">
        <v>1438.8153817092157</v>
      </c>
      <c r="T16">
        <v>1326.8207557962578</v>
      </c>
      <c r="U16">
        <v>1231.0951293792841</v>
      </c>
      <c r="V16">
        <v>1179.8063870273263</v>
      </c>
      <c r="W16">
        <v>1204.6071818188727</v>
      </c>
      <c r="X16">
        <v>1273.1344930717837</v>
      </c>
      <c r="Y16">
        <v>1258.2636267234839</v>
      </c>
      <c r="Z16">
        <v>1409.8754742758479</v>
      </c>
      <c r="AA16">
        <v>1474.3969141548805</v>
      </c>
      <c r="AB16">
        <v>1582.3119152256932</v>
      </c>
      <c r="AC16">
        <v>1611.2137928406955</v>
      </c>
      <c r="AD16">
        <v>1700.4179132896775</v>
      </c>
      <c r="AE16">
        <v>1702.292767561783</v>
      </c>
      <c r="AF16">
        <v>1732.9230042914792</v>
      </c>
      <c r="AG16">
        <v>1670.5746508904708</v>
      </c>
    </row>
    <row r="17" spans="1:33" x14ac:dyDescent="0.25">
      <c r="A17" t="s">
        <v>15</v>
      </c>
      <c r="B17">
        <v>1653.1487066635837</v>
      </c>
      <c r="C17">
        <v>1573.8186523167428</v>
      </c>
      <c r="D17">
        <v>1499.9969011400196</v>
      </c>
      <c r="E17">
        <v>1722.2976859561841</v>
      </c>
      <c r="F17">
        <v>1501.4461662269205</v>
      </c>
      <c r="G17">
        <v>1542.4691735451975</v>
      </c>
      <c r="H17">
        <v>1501.5973659367014</v>
      </c>
      <c r="I17">
        <v>1517.7028038559392</v>
      </c>
      <c r="J17">
        <v>1580.6372681931448</v>
      </c>
      <c r="K17">
        <v>1601.8846805261737</v>
      </c>
      <c r="L17">
        <v>1696.8686166379653</v>
      </c>
      <c r="M17">
        <v>1697.5942668268638</v>
      </c>
      <c r="N17">
        <v>1720.9523464788344</v>
      </c>
      <c r="O17">
        <v>1809.6280964025977</v>
      </c>
      <c r="P17">
        <v>1628.9924946807496</v>
      </c>
      <c r="Q17">
        <v>1607.7676658397509</v>
      </c>
      <c r="R17">
        <v>1185.0326215882096</v>
      </c>
      <c r="S17">
        <v>1158.6667959019919</v>
      </c>
      <c r="T17">
        <v>1152.0880663425062</v>
      </c>
      <c r="U17">
        <v>1182.366979618424</v>
      </c>
      <c r="V17">
        <v>1068.6768499954571</v>
      </c>
      <c r="W17">
        <v>1133.258516517395</v>
      </c>
      <c r="X17">
        <v>1099.603056099621</v>
      </c>
      <c r="Y17">
        <v>1182.1537515341965</v>
      </c>
      <c r="Z17">
        <v>1256.8049823612132</v>
      </c>
      <c r="AA17">
        <v>1374.0624407571524</v>
      </c>
      <c r="AB17">
        <v>1581.6741730099411</v>
      </c>
      <c r="AC17">
        <v>1686.1574647304733</v>
      </c>
      <c r="AD17">
        <v>1860.870551323364</v>
      </c>
      <c r="AE17">
        <v>2041.1690967597644</v>
      </c>
      <c r="AF17">
        <v>1485.5115841373831</v>
      </c>
      <c r="AG17">
        <v>1658.7964262919945</v>
      </c>
    </row>
    <row r="18" spans="1:33" x14ac:dyDescent="0.25">
      <c r="A18" t="s">
        <v>16</v>
      </c>
      <c r="B18">
        <v>1448.7282029348887</v>
      </c>
      <c r="C18">
        <v>1457.4096345869682</v>
      </c>
      <c r="D18">
        <v>1385.4824909443969</v>
      </c>
      <c r="E18">
        <v>1427.0425496764108</v>
      </c>
      <c r="F18">
        <v>1348.6569340642382</v>
      </c>
      <c r="G18">
        <v>1432.0704041460287</v>
      </c>
      <c r="H18">
        <v>1416.7448591910886</v>
      </c>
      <c r="I18">
        <v>1399.1822220638294</v>
      </c>
      <c r="J18">
        <v>1424.5075356520979</v>
      </c>
      <c r="K18">
        <v>1438.8284563822999</v>
      </c>
      <c r="L18">
        <v>1519.1490623274608</v>
      </c>
      <c r="M18">
        <v>1544.2537605486757</v>
      </c>
      <c r="N18">
        <v>1596.3859793331421</v>
      </c>
      <c r="O18">
        <v>1633.1438872390788</v>
      </c>
      <c r="P18">
        <v>1519.1059601308837</v>
      </c>
      <c r="Q18">
        <v>1516.472822663917</v>
      </c>
      <c r="R18">
        <v>1307.4393692595074</v>
      </c>
      <c r="S18">
        <v>1349.6535068376136</v>
      </c>
      <c r="T18">
        <v>1217.7150259047644</v>
      </c>
      <c r="U18">
        <v>1239.1161288394826</v>
      </c>
      <c r="V18">
        <v>1148.6976923105906</v>
      </c>
      <c r="W18">
        <v>1220.7256035238759</v>
      </c>
      <c r="X18">
        <v>1204.4971308883448</v>
      </c>
      <c r="Y18">
        <v>1242.2159568487746</v>
      </c>
      <c r="Z18">
        <v>1374.9000427226588</v>
      </c>
      <c r="AA18">
        <v>1337.581115716612</v>
      </c>
      <c r="AB18">
        <v>1552.5266890025059</v>
      </c>
      <c r="AC18">
        <v>1582.8598865551269</v>
      </c>
      <c r="AD18">
        <v>1691.1437159007353</v>
      </c>
      <c r="AE18">
        <v>1740.7766321195675</v>
      </c>
      <c r="AF18">
        <v>1509.7508443875911</v>
      </c>
      <c r="AG18">
        <v>1562.3035028702864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1449.4216326989911</v>
      </c>
      <c r="C20" s="3">
        <f t="shared" ref="C20:AG20" si="0">AVERAGE(C4:C18)</f>
        <v>1455.982656738433</v>
      </c>
      <c r="D20" s="3">
        <f t="shared" si="0"/>
        <v>1388.0565081991133</v>
      </c>
      <c r="E20" s="3">
        <f t="shared" si="0"/>
        <v>1425.0411163252534</v>
      </c>
      <c r="F20" s="3">
        <f t="shared" si="0"/>
        <v>1350.394428136535</v>
      </c>
      <c r="G20" s="3">
        <f t="shared" si="0"/>
        <v>1420.1779262154837</v>
      </c>
      <c r="H20" s="3">
        <f t="shared" si="0"/>
        <v>1414.0594567430037</v>
      </c>
      <c r="I20" s="3">
        <f t="shared" si="0"/>
        <v>1388.3025872874264</v>
      </c>
      <c r="J20" s="3">
        <f t="shared" si="0"/>
        <v>1416.0084198791726</v>
      </c>
      <c r="K20" s="3">
        <f t="shared" si="0"/>
        <v>1432.9710438067607</v>
      </c>
      <c r="L20" s="3">
        <f t="shared" si="0"/>
        <v>1512.4973376039231</v>
      </c>
      <c r="M20" s="3">
        <f t="shared" si="0"/>
        <v>1543.3506090054182</v>
      </c>
      <c r="N20" s="3">
        <f t="shared" si="0"/>
        <v>1597.8666958924475</v>
      </c>
      <c r="O20" s="3">
        <f t="shared" si="0"/>
        <v>1640.0155131689087</v>
      </c>
      <c r="P20" s="3">
        <f t="shared" si="0"/>
        <v>1516.3920867348402</v>
      </c>
      <c r="Q20" s="4">
        <f t="shared" si="0"/>
        <v>1517.1923173091564</v>
      </c>
      <c r="R20" s="2">
        <f t="shared" si="0"/>
        <v>1308.3646077854796</v>
      </c>
      <c r="S20" s="3">
        <f t="shared" si="0"/>
        <v>1348.6452159711309</v>
      </c>
      <c r="T20" s="3">
        <f t="shared" si="0"/>
        <v>1209.1943002032879</v>
      </c>
      <c r="U20" s="3">
        <f t="shared" si="0"/>
        <v>1238.5156850320247</v>
      </c>
      <c r="V20" s="3">
        <f t="shared" si="0"/>
        <v>1144.4549188052138</v>
      </c>
      <c r="W20" s="3">
        <f t="shared" si="0"/>
        <v>1210.2071580615841</v>
      </c>
      <c r="X20" s="3">
        <f t="shared" si="0"/>
        <v>1200.4696252433507</v>
      </c>
      <c r="Y20" s="3">
        <f t="shared" si="0"/>
        <v>1237.3927265198131</v>
      </c>
      <c r="Z20" s="3">
        <f t="shared" si="0"/>
        <v>1376.6246126857091</v>
      </c>
      <c r="AA20" s="3">
        <f t="shared" si="0"/>
        <v>1339.7400073214435</v>
      </c>
      <c r="AB20" s="3">
        <f t="shared" si="0"/>
        <v>1552.4873303395559</v>
      </c>
      <c r="AC20" s="3">
        <f t="shared" si="0"/>
        <v>1587.8231240851248</v>
      </c>
      <c r="AD20" s="3">
        <f t="shared" si="0"/>
        <v>1706.6363444197964</v>
      </c>
      <c r="AE20" s="3">
        <f t="shared" si="0"/>
        <v>1759.5250327310637</v>
      </c>
      <c r="AF20" s="3">
        <f t="shared" si="0"/>
        <v>1513.0143230606943</v>
      </c>
      <c r="AG20" s="3">
        <f t="shared" si="0"/>
        <v>1565.4313442062496</v>
      </c>
    </row>
    <row r="21" spans="1:33" x14ac:dyDescent="0.25">
      <c r="A21" s="2" t="s">
        <v>34</v>
      </c>
      <c r="B21" s="3">
        <f>_xlfn.STDEV.S(B4:B18)</f>
        <v>141.35155379814515</v>
      </c>
      <c r="C21" s="3">
        <f t="shared" ref="C21:AG21" si="1">_xlfn.STDEV.S(C4:C18)</f>
        <v>133.729040470332</v>
      </c>
      <c r="D21" s="3">
        <f t="shared" si="1"/>
        <v>137.04951388701988</v>
      </c>
      <c r="E21" s="3">
        <f t="shared" si="1"/>
        <v>167.34654441005523</v>
      </c>
      <c r="F21" s="3">
        <f t="shared" si="1"/>
        <v>112.0443923430612</v>
      </c>
      <c r="G21" s="3">
        <f t="shared" si="1"/>
        <v>165.19344836275832</v>
      </c>
      <c r="H21" s="3">
        <f t="shared" si="1"/>
        <v>140.94200517587802</v>
      </c>
      <c r="I21" s="3">
        <f t="shared" si="1"/>
        <v>119.04853628365453</v>
      </c>
      <c r="J21" s="3">
        <f t="shared" si="1"/>
        <v>115.96870213420766</v>
      </c>
      <c r="K21" s="3">
        <f t="shared" si="1"/>
        <v>132.6741981710164</v>
      </c>
      <c r="L21" s="3">
        <f t="shared" si="1"/>
        <v>127.07040423416291</v>
      </c>
      <c r="M21" s="3">
        <f t="shared" si="1"/>
        <v>143.54636017055486</v>
      </c>
      <c r="N21" s="3">
        <f t="shared" si="1"/>
        <v>172.47398328242375</v>
      </c>
      <c r="O21" s="3">
        <f t="shared" si="1"/>
        <v>200.73878593574756</v>
      </c>
      <c r="P21" s="3">
        <f t="shared" si="1"/>
        <v>138.19699664729143</v>
      </c>
      <c r="Q21" s="4">
        <f t="shared" si="1"/>
        <v>135.49465203697525</v>
      </c>
      <c r="R21" s="2">
        <f t="shared" si="1"/>
        <v>124.38089403459732</v>
      </c>
      <c r="S21" s="3">
        <f t="shared" si="1"/>
        <v>151.52571270189708</v>
      </c>
      <c r="T21" s="3">
        <f t="shared" si="1"/>
        <v>60.030187831225092</v>
      </c>
      <c r="U21" s="3">
        <f t="shared" si="1"/>
        <v>55.3821222832659</v>
      </c>
      <c r="V21" s="3">
        <f t="shared" si="1"/>
        <v>48.768021531081516</v>
      </c>
      <c r="W21" s="3">
        <f t="shared" si="1"/>
        <v>54.20995117607761</v>
      </c>
      <c r="X21" s="3">
        <f t="shared" si="1"/>
        <v>60.234254534232086</v>
      </c>
      <c r="Y21" s="3">
        <f t="shared" si="1"/>
        <v>36.765107006831116</v>
      </c>
      <c r="Z21" s="3">
        <f t="shared" si="1"/>
        <v>109.07067186038998</v>
      </c>
      <c r="AA21" s="3">
        <f t="shared" si="1"/>
        <v>106.14908274543184</v>
      </c>
      <c r="AB21" s="3">
        <f t="shared" si="1"/>
        <v>213.79836862996751</v>
      </c>
      <c r="AC21" s="3">
        <f t="shared" si="1"/>
        <v>192.80848352103271</v>
      </c>
      <c r="AD21" s="3">
        <f t="shared" si="1"/>
        <v>277.57607751295512</v>
      </c>
      <c r="AE21" s="3">
        <f t="shared" si="1"/>
        <v>291.89442435196679</v>
      </c>
      <c r="AF21" s="3">
        <f t="shared" si="1"/>
        <v>174.22615314802056</v>
      </c>
      <c r="AG21" s="3">
        <f t="shared" si="1"/>
        <v>236.8723545987485</v>
      </c>
    </row>
    <row r="22" spans="1:33" x14ac:dyDescent="0.25">
      <c r="A22" s="2" t="s">
        <v>35</v>
      </c>
      <c r="B22" s="3">
        <f>AVERAGE(B4:Q18)</f>
        <v>1466.7331459840539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1393.6578972794703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160.11179072902141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244.10217938915662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1455.5870707360034</v>
      </c>
      <c r="C26" s="2">
        <f>AVERAGE(C20,E20,G20,I20,K20,M20,O20,Q20)</f>
        <v>1477.879221232105</v>
      </c>
      <c r="E26" s="2">
        <f>AVERAGE(D20,E20,F20,G20,H20,I20)</f>
        <v>1397.6720038178025</v>
      </c>
      <c r="F26" s="2">
        <f>AVERAGE(L20:Q20)</f>
        <v>1554.5524266191157</v>
      </c>
      <c r="G26" s="2">
        <f>AVERAGE(B20,C20,J20,K20)</f>
        <v>1438.5959382808394</v>
      </c>
      <c r="Q26" s="5"/>
      <c r="R26" s="2">
        <f>AVERAGE(R20,T20,V20,X20,Z20,AB20,AD20,AF20)</f>
        <v>1376.4057578178858</v>
      </c>
      <c r="S26" s="2">
        <f>AVERAGE(S20,U20,W20,Y20,AA20,AC20,AE20,AG20)</f>
        <v>1410.9100367410542</v>
      </c>
      <c r="U26" s="2">
        <f>AVERAGE(T20:Y20)</f>
        <v>1206.7057356442122</v>
      </c>
      <c r="V26" s="2">
        <f>AVERAGE(AB20:AG20)</f>
        <v>1614.1529164737476</v>
      </c>
      <c r="W26" s="2">
        <f>AVERAGE(R20:S20,Z20:AA20)</f>
        <v>1343.3436109409408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1.4042790999861778E-2</v>
      </c>
      <c r="C28" s="3">
        <f t="shared" ref="C28:Q28" si="2">_xlfn.T.TEST(C4:C18,S4:S18,2,1)</f>
        <v>4.2001458089023079E-2</v>
      </c>
      <c r="D28" s="3">
        <f t="shared" si="2"/>
        <v>2.2487987576579862E-4</v>
      </c>
      <c r="E28" s="3">
        <f t="shared" si="2"/>
        <v>1.2560434711657369E-3</v>
      </c>
      <c r="F28" s="3">
        <f t="shared" si="2"/>
        <v>1.773391883256559E-5</v>
      </c>
      <c r="G28" s="3">
        <f t="shared" si="2"/>
        <v>4.3267635025653103E-4</v>
      </c>
      <c r="H28" s="3">
        <f t="shared" si="2"/>
        <v>1.350152711562194E-5</v>
      </c>
      <c r="I28" s="3">
        <f t="shared" si="2"/>
        <v>5.080195624721103E-4</v>
      </c>
      <c r="J28" s="3">
        <f t="shared" si="2"/>
        <v>0.29463932497025119</v>
      </c>
      <c r="K28" s="3">
        <f t="shared" si="2"/>
        <v>1.3926134377455514E-2</v>
      </c>
      <c r="L28" s="3">
        <f t="shared" si="2"/>
        <v>0.52671064071873963</v>
      </c>
      <c r="M28" s="3">
        <f t="shared" si="2"/>
        <v>0.29498513866501763</v>
      </c>
      <c r="N28" s="3">
        <f t="shared" si="2"/>
        <v>8.9655368499375346E-2</v>
      </c>
      <c r="O28" s="3">
        <f t="shared" si="2"/>
        <v>9.1295118929265895E-2</v>
      </c>
      <c r="P28" s="3">
        <f t="shared" si="2"/>
        <v>0.93528134172680766</v>
      </c>
      <c r="Q28" s="3">
        <f t="shared" si="2"/>
        <v>0.41487097406295093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1111.1988920036474</v>
      </c>
      <c r="C3">
        <v>1117.2825499358071</v>
      </c>
      <c r="D3">
        <v>1080.2816334806648</v>
      </c>
      <c r="E3">
        <v>1096.0828655075879</v>
      </c>
      <c r="F3">
        <v>1108.1175474713991</v>
      </c>
      <c r="G3">
        <v>1236.4029469975753</v>
      </c>
      <c r="H3">
        <v>1135.8459219103215</v>
      </c>
      <c r="I3">
        <v>1168.4640081712851</v>
      </c>
      <c r="J3">
        <v>1175.4621335190502</v>
      </c>
      <c r="K3">
        <v>1170.0180062820618</v>
      </c>
      <c r="L3">
        <v>1199.2817182793106</v>
      </c>
      <c r="M3">
        <v>1211.4096782806691</v>
      </c>
      <c r="N3">
        <v>1217.2061686204638</v>
      </c>
      <c r="O3">
        <v>1232.8816521651584</v>
      </c>
      <c r="P3">
        <v>1191.7196983732738</v>
      </c>
      <c r="Q3">
        <v>1132.0811231869898</v>
      </c>
      <c r="R3">
        <v>1109.8411964597731</v>
      </c>
      <c r="S3">
        <v>1184.8856810792809</v>
      </c>
      <c r="T3">
        <v>1231.5108897243013</v>
      </c>
      <c r="U3">
        <v>1074.0193287585553</v>
      </c>
      <c r="V3">
        <v>1075.7925782678199</v>
      </c>
      <c r="W3">
        <v>1210.2842536706919</v>
      </c>
      <c r="X3">
        <v>1085.2010164714043</v>
      </c>
      <c r="Y3">
        <v>1132.120487340246</v>
      </c>
      <c r="Z3">
        <v>1174.3584363519567</v>
      </c>
      <c r="AA3">
        <v>1158.2591788518853</v>
      </c>
      <c r="AB3">
        <v>1356.7540691573702</v>
      </c>
      <c r="AC3">
        <v>1313.3413459075489</v>
      </c>
      <c r="AD3">
        <v>1297.5927949564789</v>
      </c>
      <c r="AE3">
        <v>1304.8487400417328</v>
      </c>
      <c r="AF3">
        <v>1264.1264254591199</v>
      </c>
      <c r="AG3">
        <v>1290.9704426427163</v>
      </c>
    </row>
    <row r="4" spans="1:33" x14ac:dyDescent="0.25">
      <c r="A4" t="s">
        <v>2</v>
      </c>
      <c r="B4">
        <v>1089.1398545266179</v>
      </c>
      <c r="C4">
        <v>1111.0478704605048</v>
      </c>
      <c r="D4">
        <v>1039.9318728035541</v>
      </c>
      <c r="E4">
        <v>1117.927023874156</v>
      </c>
      <c r="F4">
        <v>1028.333296764971</v>
      </c>
      <c r="G4">
        <v>1049.100356640515</v>
      </c>
      <c r="H4">
        <v>1041.4992064451264</v>
      </c>
      <c r="I4">
        <v>1053.4397087627483</v>
      </c>
      <c r="J4">
        <v>1112.0513883433696</v>
      </c>
      <c r="K4">
        <v>1076.2175711207537</v>
      </c>
      <c r="L4">
        <v>1186.5769590212285</v>
      </c>
      <c r="M4">
        <v>1169.6834702840365</v>
      </c>
      <c r="N4">
        <v>1193.8769559382429</v>
      </c>
      <c r="O4">
        <v>1249.5195397107723</v>
      </c>
      <c r="P4">
        <v>1209.0667327349197</v>
      </c>
      <c r="Q4">
        <v>1155.6096246884392</v>
      </c>
      <c r="R4">
        <v>1108.552663436215</v>
      </c>
      <c r="S4">
        <v>1078.0521508345037</v>
      </c>
      <c r="T4">
        <v>1095.2969095948208</v>
      </c>
      <c r="U4">
        <v>1166.517106364402</v>
      </c>
      <c r="V4">
        <v>1057.4677476603324</v>
      </c>
      <c r="W4">
        <v>1209.3060157217963</v>
      </c>
      <c r="X4">
        <v>1057.8223505742098</v>
      </c>
      <c r="Y4">
        <v>1071.7313884608898</v>
      </c>
      <c r="Z4">
        <v>1247.1940715080568</v>
      </c>
      <c r="AA4">
        <v>1213.0967261655226</v>
      </c>
      <c r="AB4">
        <v>1125.2614119899276</v>
      </c>
      <c r="AC4">
        <v>1180.0707985142508</v>
      </c>
      <c r="AD4">
        <v>1254.5908620603875</v>
      </c>
      <c r="AE4">
        <v>1474.628021333365</v>
      </c>
      <c r="AF4">
        <v>1222.7157140659413</v>
      </c>
      <c r="AG4">
        <v>1201.4248400474457</v>
      </c>
    </row>
    <row r="5" spans="1:33" x14ac:dyDescent="0.25">
      <c r="A5" t="s">
        <v>3</v>
      </c>
      <c r="B5">
        <v>1084.3567674687342</v>
      </c>
      <c r="C5">
        <v>1105.1719252105568</v>
      </c>
      <c r="D5">
        <v>1061.5622691249418</v>
      </c>
      <c r="E5">
        <v>1153.071235757398</v>
      </c>
      <c r="F5">
        <v>1058.5565156763564</v>
      </c>
      <c r="G5">
        <v>1069.508921446574</v>
      </c>
      <c r="H5">
        <v>1091.7969442393496</v>
      </c>
      <c r="I5">
        <v>1131.9260753404774</v>
      </c>
      <c r="J5">
        <v>1098.6120213215763</v>
      </c>
      <c r="K5">
        <v>1092.4635315794676</v>
      </c>
      <c r="L5">
        <v>1129.1095951511629</v>
      </c>
      <c r="M5">
        <v>1297.177169677663</v>
      </c>
      <c r="N5">
        <v>1412.0826704870237</v>
      </c>
      <c r="O5">
        <v>1453.4345013686616</v>
      </c>
      <c r="P5">
        <v>1203.9402384777911</v>
      </c>
      <c r="Q5">
        <v>1144.5763669221501</v>
      </c>
      <c r="R5">
        <v>1221.7636734314096</v>
      </c>
      <c r="S5">
        <v>1159.337035271549</v>
      </c>
      <c r="T5">
        <v>1152.0463230978075</v>
      </c>
      <c r="U5">
        <v>1115.6961735465493</v>
      </c>
      <c r="V5">
        <v>1071.6218649557272</v>
      </c>
      <c r="W5">
        <v>1096.6507635240489</v>
      </c>
      <c r="X5">
        <v>1125.4100452503617</v>
      </c>
      <c r="Y5">
        <v>1090.8044178678929</v>
      </c>
      <c r="Z5">
        <v>1213.8835613721719</v>
      </c>
      <c r="AA5">
        <v>1108.5826905093018</v>
      </c>
      <c r="AB5">
        <v>1355.923175889141</v>
      </c>
      <c r="AC5">
        <v>1381.8031104442684</v>
      </c>
      <c r="AD5">
        <v>1869.1140640931867</v>
      </c>
      <c r="AE5">
        <v>1758.1556805910718</v>
      </c>
      <c r="AF5">
        <v>1339.0007080806736</v>
      </c>
      <c r="AG5">
        <v>1479.1513338267571</v>
      </c>
    </row>
    <row r="6" spans="1:33" x14ac:dyDescent="0.25">
      <c r="A6" t="s">
        <v>4</v>
      </c>
      <c r="B6">
        <v>1131.6735384505573</v>
      </c>
      <c r="C6">
        <v>1159.0932427454907</v>
      </c>
      <c r="D6">
        <v>1086.3872413290933</v>
      </c>
      <c r="E6">
        <v>1112.2046968271245</v>
      </c>
      <c r="F6">
        <v>1047.8350014558437</v>
      </c>
      <c r="G6">
        <v>1140.75595968772</v>
      </c>
      <c r="H6">
        <v>1074.2271012455458</v>
      </c>
      <c r="I6">
        <v>1104.1759248851301</v>
      </c>
      <c r="J6">
        <v>1122.8446988933474</v>
      </c>
      <c r="K6">
        <v>1118.1553919754783</v>
      </c>
      <c r="L6">
        <v>1231.8723784228573</v>
      </c>
      <c r="M6">
        <v>1220.0250939678008</v>
      </c>
      <c r="N6">
        <v>1285.8415413743592</v>
      </c>
      <c r="O6">
        <v>1264.6366859099435</v>
      </c>
      <c r="P6">
        <v>1212.7964679681547</v>
      </c>
      <c r="Q6">
        <v>1260.5413092494275</v>
      </c>
      <c r="R6">
        <v>1139.8824466099486</v>
      </c>
      <c r="S6">
        <v>1263.2526989924877</v>
      </c>
      <c r="T6">
        <v>1123.1098862765245</v>
      </c>
      <c r="U6">
        <v>1115.4662774874928</v>
      </c>
      <c r="V6">
        <v>1092.6560630720508</v>
      </c>
      <c r="W6">
        <v>1073.2840383550852</v>
      </c>
      <c r="X6">
        <v>1087.3053835634371</v>
      </c>
      <c r="Y6">
        <v>1138.2933729689616</v>
      </c>
      <c r="Z6">
        <v>1193.879259805057</v>
      </c>
      <c r="AA6">
        <v>1186.3062489127724</v>
      </c>
      <c r="AB6">
        <v>1393.5728615813784</v>
      </c>
      <c r="AC6">
        <v>1284.5939960507549</v>
      </c>
      <c r="AD6">
        <v>1418.2294233616501</v>
      </c>
      <c r="AE6">
        <v>1425.0418321042919</v>
      </c>
      <c r="AF6">
        <v>1299.4690308201327</v>
      </c>
      <c r="AG6">
        <v>1244.5584652615007</v>
      </c>
    </row>
    <row r="7" spans="1:33" x14ac:dyDescent="0.25">
      <c r="A7" t="s">
        <v>5</v>
      </c>
      <c r="B7">
        <v>1199.395512360418</v>
      </c>
      <c r="C7">
        <v>1161.4389794418958</v>
      </c>
      <c r="D7">
        <v>1107.8392036914952</v>
      </c>
      <c r="E7">
        <v>1144.787524181505</v>
      </c>
      <c r="F7">
        <v>1021.3705764341864</v>
      </c>
      <c r="G7">
        <v>1128.4927954427671</v>
      </c>
      <c r="H7">
        <v>1048.0303835071857</v>
      </c>
      <c r="I7">
        <v>1057.483844059316</v>
      </c>
      <c r="J7">
        <v>1091.0727480804917</v>
      </c>
      <c r="K7">
        <v>1136.102416684339</v>
      </c>
      <c r="L7">
        <v>1216.8760914376981</v>
      </c>
      <c r="M7">
        <v>1411.9063810873765</v>
      </c>
      <c r="N7">
        <v>1488.1324694516579</v>
      </c>
      <c r="O7">
        <v>1497.2193594633359</v>
      </c>
      <c r="P7">
        <v>1227.9963453694543</v>
      </c>
      <c r="Q7">
        <v>1329.2591714868377</v>
      </c>
      <c r="R7">
        <v>1136.9174680752012</v>
      </c>
      <c r="S7">
        <v>1132.1185664837749</v>
      </c>
      <c r="T7">
        <v>1064.2482950205408</v>
      </c>
      <c r="U7">
        <v>1087.120385180433</v>
      </c>
      <c r="V7">
        <v>1075.3166325751749</v>
      </c>
      <c r="W7">
        <v>1083.3941164938328</v>
      </c>
      <c r="X7">
        <v>1134.7561423752738</v>
      </c>
      <c r="Y7">
        <v>1133.2920298062547</v>
      </c>
      <c r="Z7">
        <v>1350.3512056779919</v>
      </c>
      <c r="AA7">
        <v>1332.033723257646</v>
      </c>
      <c r="AB7">
        <v>1480.2728647653025</v>
      </c>
      <c r="AC7">
        <v>1458.5164867565543</v>
      </c>
      <c r="AD7">
        <v>1748.9243879324661</v>
      </c>
      <c r="AE7">
        <v>1590.2298707623695</v>
      </c>
      <c r="AF7">
        <v>1351.1980215244246</v>
      </c>
      <c r="AG7">
        <v>1477.8263810869325</v>
      </c>
    </row>
    <row r="8" spans="1:33" x14ac:dyDescent="0.25">
      <c r="A8" t="s">
        <v>6</v>
      </c>
      <c r="B8">
        <v>1155.8265604035864</v>
      </c>
      <c r="C8">
        <v>1173.8629778192326</v>
      </c>
      <c r="D8">
        <v>1084.126236548407</v>
      </c>
      <c r="E8">
        <v>1057.1096223575078</v>
      </c>
      <c r="F8">
        <v>1051.2432842194266</v>
      </c>
      <c r="G8">
        <v>1063.1475883630728</v>
      </c>
      <c r="H8">
        <v>1052.41533255441</v>
      </c>
      <c r="I8">
        <v>1075.4341689135358</v>
      </c>
      <c r="J8">
        <v>1149.6715992416919</v>
      </c>
      <c r="K8">
        <v>1131.4219596540938</v>
      </c>
      <c r="L8">
        <v>1216.8302065828791</v>
      </c>
      <c r="M8">
        <v>1255.003353392317</v>
      </c>
      <c r="N8">
        <v>1245.8068654653653</v>
      </c>
      <c r="O8">
        <v>1283.6465612599077</v>
      </c>
      <c r="P8">
        <v>1324.7100951498182</v>
      </c>
      <c r="Q8">
        <v>1208.2829239923294</v>
      </c>
      <c r="R8">
        <v>1470.4851759734988</v>
      </c>
      <c r="S8">
        <v>1608.4992819179447</v>
      </c>
      <c r="T8">
        <v>1131.0193114113818</v>
      </c>
      <c r="U8">
        <v>1159.9020596099763</v>
      </c>
      <c r="V8">
        <v>1023.8469665764608</v>
      </c>
      <c r="W8">
        <v>1040.1994764476794</v>
      </c>
      <c r="X8">
        <v>1093.5047486085919</v>
      </c>
      <c r="Y8">
        <v>1058.6221235546693</v>
      </c>
      <c r="Z8">
        <v>1408.3447811134645</v>
      </c>
      <c r="AA8">
        <v>1375.4430936595681</v>
      </c>
      <c r="AB8">
        <v>1990.1682387908295</v>
      </c>
      <c r="AC8">
        <v>1967.3131921417043</v>
      </c>
      <c r="AD8">
        <v>2267.0846553177571</v>
      </c>
      <c r="AE8">
        <v>2460.7930779800199</v>
      </c>
      <c r="AF8">
        <v>1892.7948311323455</v>
      </c>
      <c r="AG8">
        <v>2110.2378676236285</v>
      </c>
    </row>
    <row r="9" spans="1:33" x14ac:dyDescent="0.25">
      <c r="A9" t="s">
        <v>7</v>
      </c>
      <c r="B9">
        <v>1094.2255724749853</v>
      </c>
      <c r="C9">
        <v>1087.6457738846489</v>
      </c>
      <c r="D9">
        <v>1055.3212866109729</v>
      </c>
      <c r="E9">
        <v>1046.5680595321573</v>
      </c>
      <c r="F9">
        <v>1033.4724306460262</v>
      </c>
      <c r="G9">
        <v>1048.5054050471829</v>
      </c>
      <c r="H9">
        <v>1026.2703142110222</v>
      </c>
      <c r="I9">
        <v>1052.1854806396609</v>
      </c>
      <c r="J9">
        <v>1077.3957640585638</v>
      </c>
      <c r="K9">
        <v>1098.2955207103064</v>
      </c>
      <c r="L9">
        <v>1128.7990684210981</v>
      </c>
      <c r="M9">
        <v>1222.1529833846994</v>
      </c>
      <c r="N9">
        <v>1229.3372414141313</v>
      </c>
      <c r="O9">
        <v>1225.506011350609</v>
      </c>
      <c r="P9">
        <v>1158.8310246330757</v>
      </c>
      <c r="Q9">
        <v>1222.8828054961309</v>
      </c>
      <c r="R9">
        <v>1112.7079959488169</v>
      </c>
      <c r="S9">
        <v>1308.0109552484237</v>
      </c>
      <c r="T9">
        <v>1097.7096652644409</v>
      </c>
      <c r="U9">
        <v>1129.6049309936939</v>
      </c>
      <c r="V9">
        <v>1059.8124110995409</v>
      </c>
      <c r="W9">
        <v>1095.0177523833602</v>
      </c>
      <c r="X9">
        <v>1038.0984704719119</v>
      </c>
      <c r="Y9">
        <v>1162.1483092481124</v>
      </c>
      <c r="Z9">
        <v>1206.3015831909599</v>
      </c>
      <c r="AA9">
        <v>1162.4732672293262</v>
      </c>
      <c r="AB9">
        <v>1351.9191643684949</v>
      </c>
      <c r="AC9">
        <v>1429.1247222540806</v>
      </c>
      <c r="AD9">
        <v>1454.793430857093</v>
      </c>
      <c r="AE9">
        <v>1478.9534587010853</v>
      </c>
      <c r="AF9">
        <v>1296.1365262814204</v>
      </c>
      <c r="AG9">
        <v>1367.0598789468327</v>
      </c>
    </row>
    <row r="10" spans="1:33" x14ac:dyDescent="0.25">
      <c r="A10" t="s">
        <v>8</v>
      </c>
      <c r="B10">
        <v>1235.0614842424384</v>
      </c>
      <c r="C10">
        <v>1204.574445886285</v>
      </c>
      <c r="D10">
        <v>1139.1060122029926</v>
      </c>
      <c r="E10">
        <v>1092.1608167328918</v>
      </c>
      <c r="F10">
        <v>1063.3550367400449</v>
      </c>
      <c r="G10">
        <v>1148.3643693849376</v>
      </c>
      <c r="H10">
        <v>1101.5228250302475</v>
      </c>
      <c r="I10">
        <v>1077.6855166366854</v>
      </c>
      <c r="J10">
        <v>1042.3595545433072</v>
      </c>
      <c r="K10">
        <v>1124.8960227927928</v>
      </c>
      <c r="L10">
        <v>1359.7712395004664</v>
      </c>
      <c r="M10">
        <v>1101.3537913590644</v>
      </c>
      <c r="N10">
        <v>1297.3073711282991</v>
      </c>
      <c r="O10">
        <v>1210.9680393758294</v>
      </c>
      <c r="P10">
        <v>1166.3092423049529</v>
      </c>
      <c r="Q10">
        <v>1335.7940484823721</v>
      </c>
      <c r="R10">
        <v>1113.6550218839925</v>
      </c>
      <c r="S10">
        <v>1142.9581463259483</v>
      </c>
      <c r="T10">
        <v>1092.8094990186862</v>
      </c>
      <c r="U10">
        <v>1055.9206089282402</v>
      </c>
      <c r="V10">
        <v>1047.6371186819028</v>
      </c>
      <c r="W10">
        <v>1146.1246333171391</v>
      </c>
      <c r="X10">
        <v>1134.5329373285301</v>
      </c>
      <c r="Y10">
        <v>1146.6021145154591</v>
      </c>
      <c r="Z10">
        <v>1406.9234822022313</v>
      </c>
      <c r="AA10">
        <v>1281.3227072872514</v>
      </c>
      <c r="AB10">
        <v>1405.3698089949457</v>
      </c>
      <c r="AC10">
        <v>1470.4073988193468</v>
      </c>
      <c r="AD10">
        <v>1387.9633875640334</v>
      </c>
      <c r="AE10">
        <v>1354.4439837260229</v>
      </c>
      <c r="AF10">
        <v>1286.5628208954831</v>
      </c>
      <c r="AG10">
        <v>1245.5395447199257</v>
      </c>
    </row>
    <row r="11" spans="1:33" x14ac:dyDescent="0.25">
      <c r="A11" t="s">
        <v>9</v>
      </c>
      <c r="B11">
        <v>1095.9725791755336</v>
      </c>
      <c r="C11">
        <v>1094.5643513643713</v>
      </c>
      <c r="D11">
        <v>1052.6218596355816</v>
      </c>
      <c r="E11">
        <v>1112.0194948274834</v>
      </c>
      <c r="F11">
        <v>1178.9860612187836</v>
      </c>
      <c r="G11">
        <v>1033.131789603608</v>
      </c>
      <c r="H11">
        <v>1085.3874202682161</v>
      </c>
      <c r="I11">
        <v>1048.3103728240337</v>
      </c>
      <c r="J11">
        <v>1054.8267360192358</v>
      </c>
      <c r="K11">
        <v>1074.4299388180561</v>
      </c>
      <c r="L11">
        <v>1146.0664668528584</v>
      </c>
      <c r="M11">
        <v>1278.6735270054301</v>
      </c>
      <c r="N11">
        <v>1161.8572334775786</v>
      </c>
      <c r="O11">
        <v>1136.9649151296107</v>
      </c>
      <c r="P11">
        <v>1070.3972270717936</v>
      </c>
      <c r="Q11">
        <v>1128.9986831830693</v>
      </c>
      <c r="R11">
        <v>1203.2240621232036</v>
      </c>
      <c r="S11">
        <v>1233.8484867819261</v>
      </c>
      <c r="T11">
        <v>1055.1762990818161</v>
      </c>
      <c r="U11">
        <v>1135.4628510150214</v>
      </c>
      <c r="V11">
        <v>1038.1893345727008</v>
      </c>
      <c r="W11">
        <v>1050.2990982725307</v>
      </c>
      <c r="X11">
        <v>1068.3104314249999</v>
      </c>
      <c r="Y11">
        <v>1041.301129764815</v>
      </c>
      <c r="Z11">
        <v>1222.222912896229</v>
      </c>
      <c r="AA11">
        <v>1099.2995794512033</v>
      </c>
      <c r="AB11">
        <v>1247.1023978142048</v>
      </c>
      <c r="AC11">
        <v>1343.7074124058977</v>
      </c>
      <c r="AD11">
        <v>1416.5955225106359</v>
      </c>
      <c r="AE11">
        <v>1366.539702135296</v>
      </c>
      <c r="AF11">
        <v>1275.1218967247573</v>
      </c>
      <c r="AG11">
        <v>1237.6497142695116</v>
      </c>
    </row>
    <row r="12" spans="1:33" x14ac:dyDescent="0.25">
      <c r="A12" t="s">
        <v>10</v>
      </c>
      <c r="B12">
        <v>1195.4139967895628</v>
      </c>
      <c r="C12">
        <v>1113.4837187236299</v>
      </c>
      <c r="D12">
        <v>1112.4441067461651</v>
      </c>
      <c r="E12">
        <v>1054.6643552378198</v>
      </c>
      <c r="F12">
        <v>1041.8450072039095</v>
      </c>
      <c r="G12">
        <v>1057.1991764686923</v>
      </c>
      <c r="H12">
        <v>1157.7463586085523</v>
      </c>
      <c r="I12">
        <v>1157.2252674426522</v>
      </c>
      <c r="J12">
        <v>1153.2770360774762</v>
      </c>
      <c r="K12">
        <v>1172.4681710514592</v>
      </c>
      <c r="L12">
        <v>1341.4984102337239</v>
      </c>
      <c r="M12">
        <v>1330.7977817843653</v>
      </c>
      <c r="N12">
        <v>1457.6966083810471</v>
      </c>
      <c r="O12">
        <v>1451.6099544946373</v>
      </c>
      <c r="P12">
        <v>1188.9240194210352</v>
      </c>
      <c r="Q12">
        <v>1274.5173830757763</v>
      </c>
      <c r="R12">
        <v>1156.9849279055147</v>
      </c>
      <c r="S12">
        <v>1149.6982244308638</v>
      </c>
      <c r="T12">
        <v>1045.8433970403048</v>
      </c>
      <c r="U12">
        <v>1059.47084891288</v>
      </c>
      <c r="V12">
        <v>1027.4549616269262</v>
      </c>
      <c r="W12">
        <v>1134.9722822450071</v>
      </c>
      <c r="X12">
        <v>1164.640958294523</v>
      </c>
      <c r="Y12">
        <v>1157.2196375716239</v>
      </c>
      <c r="Z12">
        <v>1285.9793955562689</v>
      </c>
      <c r="AA12">
        <v>1245.3742575139877</v>
      </c>
      <c r="AB12">
        <v>1626.2586254552944</v>
      </c>
      <c r="AC12">
        <v>1646.2074260220841</v>
      </c>
      <c r="AD12">
        <v>1621.5584129749473</v>
      </c>
      <c r="AE12">
        <v>1691.0079164618846</v>
      </c>
      <c r="AF12">
        <v>1376.4191726359954</v>
      </c>
      <c r="AG12">
        <v>1345.8208744446433</v>
      </c>
    </row>
    <row r="13" spans="1:33" x14ac:dyDescent="0.25">
      <c r="A13" t="s">
        <v>11</v>
      </c>
      <c r="B13">
        <v>1063.7579200332357</v>
      </c>
      <c r="C13">
        <v>1106.9217611421038</v>
      </c>
      <c r="D13">
        <v>1031.5292885669603</v>
      </c>
      <c r="E13">
        <v>1041.582081708674</v>
      </c>
      <c r="F13">
        <v>1024.3104452810583</v>
      </c>
      <c r="G13">
        <v>1065.1792337829384</v>
      </c>
      <c r="H13">
        <v>1032.4145780228901</v>
      </c>
      <c r="I13">
        <v>1018.6304039517322</v>
      </c>
      <c r="J13">
        <v>1064.9112790977317</v>
      </c>
      <c r="K13">
        <v>1060.7401415023096</v>
      </c>
      <c r="L13">
        <v>1111.9118836668536</v>
      </c>
      <c r="M13">
        <v>1163.8605295929233</v>
      </c>
      <c r="N13">
        <v>1216.8105156165589</v>
      </c>
      <c r="O13">
        <v>1269.297468823687</v>
      </c>
      <c r="P13">
        <v>1188.4536662629394</v>
      </c>
      <c r="Q13">
        <v>1116.8330744363454</v>
      </c>
      <c r="R13">
        <v>1163.0516581433312</v>
      </c>
      <c r="S13">
        <v>1160.0729674338365</v>
      </c>
      <c r="T13">
        <v>1077.3983636742651</v>
      </c>
      <c r="U13">
        <v>1147.6871443351181</v>
      </c>
      <c r="V13">
        <v>1057.133014547861</v>
      </c>
      <c r="W13">
        <v>1060.5573260701522</v>
      </c>
      <c r="X13">
        <v>1035.404743028485</v>
      </c>
      <c r="Y13">
        <v>1120.6339694266428</v>
      </c>
      <c r="Z13">
        <v>1152.7970586327024</v>
      </c>
      <c r="AA13">
        <v>1118.2402056616829</v>
      </c>
      <c r="AB13">
        <v>1450.265529694972</v>
      </c>
      <c r="AC13">
        <v>1323.3620050612924</v>
      </c>
      <c r="AD13">
        <v>1516.0906681744284</v>
      </c>
      <c r="AE13">
        <v>1645.1789752457903</v>
      </c>
      <c r="AF13">
        <v>1304.6231914155858</v>
      </c>
      <c r="AG13">
        <v>1427.238647955051</v>
      </c>
    </row>
    <row r="14" spans="1:33" x14ac:dyDescent="0.25">
      <c r="A14" t="s">
        <v>12</v>
      </c>
      <c r="B14">
        <v>1111.4899810483007</v>
      </c>
      <c r="C14">
        <v>1147.5724320363524</v>
      </c>
      <c r="D14">
        <v>1073.3725897694221</v>
      </c>
      <c r="E14">
        <v>1114.0746942753626</v>
      </c>
      <c r="F14">
        <v>1023.2301607866696</v>
      </c>
      <c r="G14">
        <v>1151.2421945418032</v>
      </c>
      <c r="H14">
        <v>1093.1495733614811</v>
      </c>
      <c r="I14">
        <v>1086.6092475265373</v>
      </c>
      <c r="J14">
        <v>1118.1533186098866</v>
      </c>
      <c r="K14">
        <v>1126.5516752386441</v>
      </c>
      <c r="L14">
        <v>1213.2222527295053</v>
      </c>
      <c r="M14">
        <v>1189.3056010221685</v>
      </c>
      <c r="N14">
        <v>1306.7825608499934</v>
      </c>
      <c r="O14">
        <v>1401.1847729675301</v>
      </c>
      <c r="P14">
        <v>1225.544258751087</v>
      </c>
      <c r="Q14">
        <v>1178.174795985859</v>
      </c>
      <c r="R14">
        <v>1042.4108186085007</v>
      </c>
      <c r="S14">
        <v>1222.0696634802368</v>
      </c>
      <c r="T14">
        <v>1036.6607415468029</v>
      </c>
      <c r="U14">
        <v>1165.4814316613788</v>
      </c>
      <c r="V14">
        <v>1073.329487170738</v>
      </c>
      <c r="W14">
        <v>1134.1533412899726</v>
      </c>
      <c r="X14">
        <v>1132.4582940317209</v>
      </c>
      <c r="Y14">
        <v>1144.2711330012385</v>
      </c>
      <c r="Z14">
        <v>1294.6514428442269</v>
      </c>
      <c r="AA14">
        <v>1080.8584389919902</v>
      </c>
      <c r="AB14">
        <v>1207.3015855982519</v>
      </c>
      <c r="AC14">
        <v>1495.7865869239013</v>
      </c>
      <c r="AD14">
        <v>1335.0705829889359</v>
      </c>
      <c r="AE14">
        <v>1606.6920202674414</v>
      </c>
      <c r="AF14">
        <v>1279.8744843862808</v>
      </c>
      <c r="AG14">
        <v>1329.4136093538127</v>
      </c>
    </row>
    <row r="15" spans="1:33" x14ac:dyDescent="0.25">
      <c r="A15" t="s">
        <v>13</v>
      </c>
      <c r="B15">
        <v>1087.2829300471012</v>
      </c>
      <c r="C15">
        <v>1095.6501695322077</v>
      </c>
      <c r="D15">
        <v>1047.2118765574164</v>
      </c>
      <c r="E15">
        <v>1070.5010421362199</v>
      </c>
      <c r="F15">
        <v>1031.3280599448624</v>
      </c>
      <c r="G15">
        <v>1133.0027159880951</v>
      </c>
      <c r="H15">
        <v>1059.882722557325</v>
      </c>
      <c r="I15">
        <v>1080.0002384876188</v>
      </c>
      <c r="J15">
        <v>1111.4778310428419</v>
      </c>
      <c r="K15">
        <v>1105.5575619565921</v>
      </c>
      <c r="L15">
        <v>1178.5716508621272</v>
      </c>
      <c r="M15">
        <v>1241.8030383231348</v>
      </c>
      <c r="N15">
        <v>1278.2780743679887</v>
      </c>
      <c r="O15">
        <v>1334.5965266537514</v>
      </c>
      <c r="P15">
        <v>1155.6762983652122</v>
      </c>
      <c r="Q15">
        <v>1128.7974079410212</v>
      </c>
      <c r="R15">
        <v>1199.0551222806789</v>
      </c>
      <c r="S15">
        <v>1089.8740497049885</v>
      </c>
      <c r="T15">
        <v>1156.9576087267951</v>
      </c>
      <c r="U15">
        <v>1135.6945184493363</v>
      </c>
      <c r="V15">
        <v>1045.5273378760662</v>
      </c>
      <c r="W15">
        <v>1129.2040879790975</v>
      </c>
      <c r="X15">
        <v>1051.1813536551549</v>
      </c>
      <c r="Y15">
        <v>1166.2826986067194</v>
      </c>
      <c r="Z15">
        <v>1032.8224109478929</v>
      </c>
      <c r="AA15">
        <v>1073.3530121251763</v>
      </c>
      <c r="AB15">
        <v>1179.6680042422527</v>
      </c>
      <c r="AC15">
        <v>1285.7267329263696</v>
      </c>
      <c r="AD15">
        <v>1271.0095054726712</v>
      </c>
      <c r="AE15">
        <v>1235.195808503772</v>
      </c>
      <c r="AF15">
        <v>1271.5665826825698</v>
      </c>
      <c r="AG15">
        <v>1258.205694987178</v>
      </c>
    </row>
    <row r="16" spans="1:33" x14ac:dyDescent="0.25">
      <c r="A16" t="s">
        <v>14</v>
      </c>
      <c r="B16">
        <v>1105.9997516534552</v>
      </c>
      <c r="C16">
        <v>1192.3268157745674</v>
      </c>
      <c r="D16">
        <v>1065.4953327909213</v>
      </c>
      <c r="E16">
        <v>1092.5171414498623</v>
      </c>
      <c r="F16">
        <v>1110.2715797491796</v>
      </c>
      <c r="G16">
        <v>1360.633242344371</v>
      </c>
      <c r="H16">
        <v>1137.5523295457069</v>
      </c>
      <c r="I16">
        <v>1140.7837853324068</v>
      </c>
      <c r="J16">
        <v>1108.9298880801064</v>
      </c>
      <c r="K16">
        <v>1139.8137757021195</v>
      </c>
      <c r="L16">
        <v>1284.0781805302881</v>
      </c>
      <c r="M16">
        <v>1260.9550042938276</v>
      </c>
      <c r="N16">
        <v>1261.5446161484992</v>
      </c>
      <c r="O16">
        <v>1292.8911882184777</v>
      </c>
      <c r="P16">
        <v>1208.1363115543761</v>
      </c>
      <c r="Q16">
        <v>1248.0922375442278</v>
      </c>
      <c r="R16">
        <v>1209.8770273934208</v>
      </c>
      <c r="S16">
        <v>1262.7970827794052</v>
      </c>
      <c r="T16">
        <v>1155.8332692919773</v>
      </c>
      <c r="U16">
        <v>1097.6351276739238</v>
      </c>
      <c r="V16">
        <v>1044.4970593726403</v>
      </c>
      <c r="W16">
        <v>1045.4294250873052</v>
      </c>
      <c r="X16">
        <v>1104.5908523959497</v>
      </c>
      <c r="Y16">
        <v>1096.80756957007</v>
      </c>
      <c r="Z16">
        <v>1235.6300116465936</v>
      </c>
      <c r="AA16">
        <v>1283.81073847165</v>
      </c>
      <c r="AB16">
        <v>1440.6948839957181</v>
      </c>
      <c r="AC16">
        <v>1452.8045246305951</v>
      </c>
      <c r="AD16">
        <v>1545.8855666304557</v>
      </c>
      <c r="AE16">
        <v>1541.2364634456544</v>
      </c>
      <c r="AF16">
        <v>1575.1145584213534</v>
      </c>
      <c r="AG16">
        <v>1508.1745424896974</v>
      </c>
    </row>
    <row r="17" spans="1:33" x14ac:dyDescent="0.25">
      <c r="A17" t="s">
        <v>15</v>
      </c>
      <c r="B17">
        <v>1154.2887249496848</v>
      </c>
      <c r="C17">
        <v>1142.4409429521083</v>
      </c>
      <c r="D17">
        <v>1094.1746651346746</v>
      </c>
      <c r="E17">
        <v>1243.7032580923185</v>
      </c>
      <c r="F17">
        <v>1059.8760506827059</v>
      </c>
      <c r="G17">
        <v>1092.0398227567148</v>
      </c>
      <c r="H17">
        <v>1096.8929532312243</v>
      </c>
      <c r="I17">
        <v>1101.9779470150593</v>
      </c>
      <c r="J17">
        <v>1179.6360355915865</v>
      </c>
      <c r="K17">
        <v>1152.5655365532871</v>
      </c>
      <c r="L17">
        <v>1212.1734018292336</v>
      </c>
      <c r="M17">
        <v>1241.6567740878988</v>
      </c>
      <c r="N17">
        <v>1223.5733679143354</v>
      </c>
      <c r="O17">
        <v>1334.1665784636764</v>
      </c>
      <c r="P17">
        <v>1219.1144555560395</v>
      </c>
      <c r="Q17">
        <v>1252.9261200189187</v>
      </c>
      <c r="R17">
        <v>1125.7325499502954</v>
      </c>
      <c r="S17">
        <v>1101.019371126511</v>
      </c>
      <c r="T17">
        <v>1086.5662932880573</v>
      </c>
      <c r="U17">
        <v>1120.4298793219091</v>
      </c>
      <c r="V17">
        <v>1041.7074698899473</v>
      </c>
      <c r="W17">
        <v>1072.9982477081944</v>
      </c>
      <c r="X17">
        <v>1049.5140544783105</v>
      </c>
      <c r="Y17">
        <v>1141.7308326612319</v>
      </c>
      <c r="Z17">
        <v>1184.0527763835044</v>
      </c>
      <c r="AA17">
        <v>1307.0968899548734</v>
      </c>
      <c r="AB17">
        <v>1459.4907697300205</v>
      </c>
      <c r="AC17">
        <v>1588.4628145168865</v>
      </c>
      <c r="AD17">
        <v>1743.1145394012822</v>
      </c>
      <c r="AE17">
        <v>1916.5245413474784</v>
      </c>
      <c r="AF17">
        <v>1381.490094674125</v>
      </c>
      <c r="AG17">
        <v>1581.8878315049637</v>
      </c>
    </row>
    <row r="18" spans="1:33" x14ac:dyDescent="0.25">
      <c r="A18" t="s">
        <v>16</v>
      </c>
      <c r="B18">
        <v>1127.6722710418571</v>
      </c>
      <c r="C18">
        <v>1134.2051971273177</v>
      </c>
      <c r="D18">
        <v>1075.4270316662175</v>
      </c>
      <c r="E18">
        <v>1103.2649274998714</v>
      </c>
      <c r="F18">
        <v>1058.808736951695</v>
      </c>
      <c r="G18">
        <v>1118.4471012331046</v>
      </c>
      <c r="H18">
        <v>1082.3089309825737</v>
      </c>
      <c r="I18">
        <v>1090.2887993325919</v>
      </c>
      <c r="J18">
        <v>1110.712135501351</v>
      </c>
      <c r="K18">
        <v>1118.6464814414505</v>
      </c>
      <c r="L18">
        <v>1210.4426335680862</v>
      </c>
      <c r="M18">
        <v>1239.7176118362252</v>
      </c>
      <c r="N18">
        <v>1285.0756173757029</v>
      </c>
      <c r="O18">
        <v>1309.234917023706</v>
      </c>
      <c r="P18">
        <v>1196.7744054662614</v>
      </c>
      <c r="Q18">
        <v>1207.8244717126595</v>
      </c>
      <c r="R18">
        <v>1167.6094538815867</v>
      </c>
      <c r="S18">
        <v>1206.4329574594453</v>
      </c>
      <c r="T18">
        <v>1106.8124501372347</v>
      </c>
      <c r="U18">
        <v>1117.7405781492605</v>
      </c>
      <c r="V18">
        <v>1055.4660031963926</v>
      </c>
      <c r="W18">
        <v>1105.4583239043932</v>
      </c>
      <c r="X18">
        <v>1090.8487854635243</v>
      </c>
      <c r="Y18">
        <v>1120.1240809576552</v>
      </c>
      <c r="Z18">
        <v>1240.626159341954</v>
      </c>
      <c r="AA18">
        <v>1201.7033838695895</v>
      </c>
      <c r="AB18">
        <v>1404.6682261378737</v>
      </c>
      <c r="AC18">
        <v>1441.4152368917023</v>
      </c>
      <c r="AD18">
        <v>1543.1745202864272</v>
      </c>
      <c r="AE18">
        <v>1589.9646728431517</v>
      </c>
      <c r="AF18">
        <v>1361.0809372800138</v>
      </c>
      <c r="AG18">
        <v>1407.0106446107063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1128.7704963110712</v>
      </c>
      <c r="C20" s="3">
        <f t="shared" ref="C20:AG20" si="0">AVERAGE(C4:C18)</f>
        <v>1135.3333736067516</v>
      </c>
      <c r="D20" s="3">
        <f t="shared" si="0"/>
        <v>1075.1033915452542</v>
      </c>
      <c r="E20" s="3">
        <f t="shared" si="0"/>
        <v>1103.7437316326902</v>
      </c>
      <c r="F20" s="3">
        <f t="shared" si="0"/>
        <v>1055.5214829170479</v>
      </c>
      <c r="G20" s="3">
        <f t="shared" si="0"/>
        <v>1110.5833781821395</v>
      </c>
      <c r="H20" s="3">
        <f t="shared" si="0"/>
        <v>1078.7397982540572</v>
      </c>
      <c r="I20" s="3">
        <f t="shared" si="0"/>
        <v>1085.0771187433459</v>
      </c>
      <c r="J20" s="3">
        <f t="shared" si="0"/>
        <v>1106.3954689668376</v>
      </c>
      <c r="K20" s="3">
        <f t="shared" si="0"/>
        <v>1115.2217131187433</v>
      </c>
      <c r="L20" s="3">
        <f t="shared" si="0"/>
        <v>1211.186694587338</v>
      </c>
      <c r="M20" s="3">
        <f t="shared" si="0"/>
        <v>1241.6048074065955</v>
      </c>
      <c r="N20" s="3">
        <f t="shared" si="0"/>
        <v>1289.6002472927187</v>
      </c>
      <c r="O20" s="3">
        <f t="shared" si="0"/>
        <v>1314.3251346809423</v>
      </c>
      <c r="P20" s="3">
        <f t="shared" si="0"/>
        <v>1197.1113859391273</v>
      </c>
      <c r="Q20" s="4">
        <f t="shared" si="0"/>
        <v>1212.8740282810372</v>
      </c>
      <c r="R20" s="2">
        <f t="shared" si="0"/>
        <v>1171.460671043041</v>
      </c>
      <c r="S20" s="3">
        <f t="shared" si="0"/>
        <v>1207.8694425514564</v>
      </c>
      <c r="T20" s="3">
        <f t="shared" si="0"/>
        <v>1098.4992208314302</v>
      </c>
      <c r="U20" s="3">
        <f t="shared" si="0"/>
        <v>1120.655328108641</v>
      </c>
      <c r="V20" s="3">
        <f t="shared" si="0"/>
        <v>1054.1108981916307</v>
      </c>
      <c r="W20" s="3">
        <f t="shared" si="0"/>
        <v>1098.4699285866398</v>
      </c>
      <c r="X20" s="3">
        <f t="shared" si="0"/>
        <v>1091.2253033963323</v>
      </c>
      <c r="Y20" s="3">
        <f t="shared" si="0"/>
        <v>1119.3243205321489</v>
      </c>
      <c r="Z20" s="3">
        <f t="shared" si="0"/>
        <v>1245.0440075412871</v>
      </c>
      <c r="AA20" s="3">
        <f t="shared" si="0"/>
        <v>1204.5996642041027</v>
      </c>
      <c r="AB20" s="3">
        <f t="shared" si="0"/>
        <v>1407.8625032699076</v>
      </c>
      <c r="AC20" s="3">
        <f t="shared" si="0"/>
        <v>1449.9534962906459</v>
      </c>
      <c r="AD20" s="3">
        <f t="shared" si="0"/>
        <v>1559.5466353084237</v>
      </c>
      <c r="AE20" s="3">
        <f t="shared" si="0"/>
        <v>1608.9724016965797</v>
      </c>
      <c r="AF20" s="3">
        <f t="shared" si="0"/>
        <v>1367.5445714014065</v>
      </c>
      <c r="AG20" s="3">
        <f t="shared" si="0"/>
        <v>1414.7466580752391</v>
      </c>
    </row>
    <row r="21" spans="1:33" x14ac:dyDescent="0.25">
      <c r="A21" s="2" t="s">
        <v>34</v>
      </c>
      <c r="B21" s="3">
        <f>_xlfn.STDEV.S(B4:B18)</f>
        <v>49.783148304031279</v>
      </c>
      <c r="C21" s="3">
        <f t="shared" ref="C21:AG21" si="1">_xlfn.STDEV.S(C4:C18)</f>
        <v>37.100087269342595</v>
      </c>
      <c r="D21" s="3">
        <f t="shared" si="1"/>
        <v>29.548931915581413</v>
      </c>
      <c r="E21" s="3">
        <f t="shared" si="1"/>
        <v>51.572829788052118</v>
      </c>
      <c r="F21" s="3">
        <f t="shared" si="1"/>
        <v>41.057166690170639</v>
      </c>
      <c r="G21" s="3">
        <f t="shared" si="1"/>
        <v>80.279065560377461</v>
      </c>
      <c r="H21" s="3">
        <f t="shared" si="1"/>
        <v>37.112327445176597</v>
      </c>
      <c r="I21" s="3">
        <f t="shared" si="1"/>
        <v>37.766060998208978</v>
      </c>
      <c r="J21" s="3">
        <f t="shared" si="1"/>
        <v>37.362899453544969</v>
      </c>
      <c r="K21" s="3">
        <f t="shared" si="1"/>
        <v>30.785659287083263</v>
      </c>
      <c r="L21" s="3">
        <f t="shared" si="1"/>
        <v>72.781153929355881</v>
      </c>
      <c r="M21" s="3">
        <f t="shared" si="1"/>
        <v>73.893943402399472</v>
      </c>
      <c r="N21" s="3">
        <f t="shared" si="1"/>
        <v>94.364992666544481</v>
      </c>
      <c r="O21" s="3">
        <f t="shared" si="1"/>
        <v>100.05316958390644</v>
      </c>
      <c r="P21" s="3">
        <f t="shared" si="1"/>
        <v>53.059679511083758</v>
      </c>
      <c r="Q21" s="4">
        <f t="shared" si="1"/>
        <v>70.808486978529075</v>
      </c>
      <c r="R21" s="2">
        <f t="shared" si="1"/>
        <v>95.309065010538603</v>
      </c>
      <c r="S21" s="3">
        <f t="shared" si="1"/>
        <v>130.29181575811808</v>
      </c>
      <c r="T21" s="3">
        <f t="shared" si="1"/>
        <v>39.262619577348836</v>
      </c>
      <c r="U21" s="3">
        <f t="shared" si="1"/>
        <v>34.390566710056014</v>
      </c>
      <c r="V21" s="3">
        <f t="shared" si="1"/>
        <v>18.723448188090188</v>
      </c>
      <c r="W21" s="3">
        <f t="shared" si="1"/>
        <v>46.017807573601466</v>
      </c>
      <c r="X21" s="3">
        <f t="shared" si="1"/>
        <v>40.665035026185038</v>
      </c>
      <c r="Y21" s="3">
        <f t="shared" si="1"/>
        <v>38.967605032268835</v>
      </c>
      <c r="Z21" s="3">
        <f t="shared" si="1"/>
        <v>96.765216077138305</v>
      </c>
      <c r="AA21" s="3">
        <f t="shared" si="1"/>
        <v>97.19228132922251</v>
      </c>
      <c r="AB21" s="3">
        <f t="shared" si="1"/>
        <v>207.29794242989232</v>
      </c>
      <c r="AC21" s="3">
        <f t="shared" si="1"/>
        <v>186.61987607056633</v>
      </c>
      <c r="AD21" s="3">
        <f t="shared" si="1"/>
        <v>264.52822165261404</v>
      </c>
      <c r="AE21" s="3">
        <f t="shared" si="1"/>
        <v>291.28289791958969</v>
      </c>
      <c r="AF21" s="3">
        <f t="shared" si="1"/>
        <v>166.26910431852227</v>
      </c>
      <c r="AG21" s="3">
        <f t="shared" si="1"/>
        <v>223.92474214832387</v>
      </c>
    </row>
    <row r="22" spans="1:33" x14ac:dyDescent="0.25">
      <c r="A22" s="2" t="s">
        <v>35</v>
      </c>
      <c r="B22" s="3">
        <f>AVERAGE(B4:Q18)</f>
        <v>1153.8245157166057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1263.7428156893075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97.076436039999834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226.89220782053789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1142.8036207266816</v>
      </c>
      <c r="C26" s="2">
        <f>AVERAGE(C20,E20,G20,I20,K20,M20,O20,Q20)</f>
        <v>1164.8454107065306</v>
      </c>
      <c r="E26" s="2">
        <f>AVERAGE(D20,E20,F20,G20,H20,I20)</f>
        <v>1084.794816879089</v>
      </c>
      <c r="F26" s="2">
        <f>AVERAGE(L20:Q20)</f>
        <v>1244.4503830312931</v>
      </c>
      <c r="G26" s="2">
        <f>AVERAGE(B20,C20,J20,K20)</f>
        <v>1121.4302630008508</v>
      </c>
      <c r="Q26" s="5"/>
      <c r="R26" s="2">
        <f>AVERAGE(R20,T20,V20,X20,Z20,AB20,AD20,AF20)</f>
        <v>1249.4117263729322</v>
      </c>
      <c r="S26" s="2">
        <f>AVERAGE(S20,U20,W20,Y20,AA20,AC20,AE20,AG20)</f>
        <v>1278.0739050056816</v>
      </c>
      <c r="U26" s="2">
        <f>AVERAGE(T20:Y20)</f>
        <v>1097.0474999411372</v>
      </c>
      <c r="V26" s="2">
        <f>AVERAGE(AB20:AG20)</f>
        <v>1468.1043776737006</v>
      </c>
      <c r="W26" s="2">
        <f>AVERAGE(R20:S20,Z20:AA20)</f>
        <v>1207.2434463349718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0.14806120388581834</v>
      </c>
      <c r="C28" s="3">
        <f t="shared" ref="C28:Q28" si="2">_xlfn.T.TEST(C4:C18,S4:S18,2,1)</f>
        <v>4.1389296964532828E-2</v>
      </c>
      <c r="D28" s="3">
        <f t="shared" si="2"/>
        <v>0.11856277731188342</v>
      </c>
      <c r="E28" s="3">
        <f t="shared" si="2"/>
        <v>0.31682959684085304</v>
      </c>
      <c r="F28" s="3">
        <f t="shared" si="2"/>
        <v>0.91583620986528436</v>
      </c>
      <c r="G28" s="3">
        <f t="shared" si="2"/>
        <v>0.64622893342950483</v>
      </c>
      <c r="H28" s="3">
        <f t="shared" si="2"/>
        <v>0.16227309292419984</v>
      </c>
      <c r="I28" s="3">
        <f t="shared" si="2"/>
        <v>1.7675528920852942E-2</v>
      </c>
      <c r="J28" s="3">
        <f t="shared" si="2"/>
        <v>1.6338209230126396E-4</v>
      </c>
      <c r="K28" s="3">
        <f t="shared" si="2"/>
        <v>8.571603506921931E-4</v>
      </c>
      <c r="L28" s="3">
        <f t="shared" si="2"/>
        <v>1.7875929643414669E-3</v>
      </c>
      <c r="M28" s="3">
        <f t="shared" si="2"/>
        <v>6.0922186040585405E-4</v>
      </c>
      <c r="N28" s="3">
        <f t="shared" si="2"/>
        <v>1.0646165620722245E-3</v>
      </c>
      <c r="O28" s="3">
        <f t="shared" si="2"/>
        <v>1.2699990090166867E-3</v>
      </c>
      <c r="P28" s="3">
        <f t="shared" si="2"/>
        <v>2.4440519511244525E-4</v>
      </c>
      <c r="Q28" s="3">
        <f t="shared" si="2"/>
        <v>4.2269686013353064E-3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3326.9702350191537</v>
      </c>
      <c r="C3">
        <v>3404.5398805122277</v>
      </c>
      <c r="D3">
        <v>2327.4313418855418</v>
      </c>
      <c r="E3">
        <v>3431.4137352468156</v>
      </c>
      <c r="F3">
        <v>2249.5185293941504</v>
      </c>
      <c r="G3">
        <v>2836.8524784445981</v>
      </c>
      <c r="H3">
        <v>2736.3742237560573</v>
      </c>
      <c r="I3">
        <v>2915.0730667079324</v>
      </c>
      <c r="J3">
        <v>3042.1542046013428</v>
      </c>
      <c r="K3">
        <v>2929.5444201920991</v>
      </c>
      <c r="L3">
        <v>2748.597449619087</v>
      </c>
      <c r="M3">
        <v>3106.9889802068733</v>
      </c>
      <c r="N3">
        <v>3038.3281114864303</v>
      </c>
      <c r="O3">
        <v>3052.413231181954</v>
      </c>
      <c r="P3">
        <v>3585.8873883606693</v>
      </c>
      <c r="Q3">
        <v>3309.3800745521503</v>
      </c>
      <c r="R3">
        <v>3465.1849652441642</v>
      </c>
      <c r="S3">
        <v>3326.9431186447227</v>
      </c>
      <c r="T3">
        <v>2675.9067940404375</v>
      </c>
      <c r="U3">
        <v>2613.1476379165701</v>
      </c>
      <c r="V3">
        <v>3085.6368366240222</v>
      </c>
      <c r="W3">
        <v>2727.9270253581235</v>
      </c>
      <c r="X3">
        <v>3174.3053717719972</v>
      </c>
      <c r="Y3">
        <v>3546.4797971577764</v>
      </c>
      <c r="Z3">
        <v>2930.5034483077179</v>
      </c>
      <c r="AA3">
        <v>2722.2552025971713</v>
      </c>
      <c r="AB3">
        <v>2569.1340020989383</v>
      </c>
      <c r="AC3">
        <v>2407.8442884432857</v>
      </c>
      <c r="AD3">
        <v>2390.476826030811</v>
      </c>
      <c r="AE3">
        <v>2273.0447886908023</v>
      </c>
      <c r="AF3">
        <v>3316.7458578464029</v>
      </c>
      <c r="AG3">
        <v>2651.8169503921849</v>
      </c>
    </row>
    <row r="4" spans="1:33" x14ac:dyDescent="0.25">
      <c r="A4" t="s">
        <v>2</v>
      </c>
      <c r="B4">
        <v>3375.6781663792108</v>
      </c>
      <c r="C4">
        <v>3308.4271864703278</v>
      </c>
      <c r="D4">
        <v>3152.2518775903527</v>
      </c>
      <c r="E4">
        <v>3389.6261237300287</v>
      </c>
      <c r="F4">
        <v>2828.9032842446636</v>
      </c>
      <c r="G4">
        <v>2840.2165868282964</v>
      </c>
      <c r="H4">
        <v>3134.3696029111766</v>
      </c>
      <c r="I4">
        <v>3166.3028739193896</v>
      </c>
      <c r="J4">
        <v>3087.698587210235</v>
      </c>
      <c r="K4">
        <v>3324.5939310962431</v>
      </c>
      <c r="L4">
        <v>3161.1288840888424</v>
      </c>
      <c r="M4">
        <v>3163.5527546026974</v>
      </c>
      <c r="N4">
        <v>2957.1058712724071</v>
      </c>
      <c r="O4">
        <v>2908.9109444724509</v>
      </c>
      <c r="P4">
        <v>3260.9361982415239</v>
      </c>
      <c r="Q4">
        <v>3202.570809968478</v>
      </c>
      <c r="R4">
        <v>3336.4280187007134</v>
      </c>
      <c r="S4">
        <v>3506.5066733967524</v>
      </c>
      <c r="T4">
        <v>3594.320925262341</v>
      </c>
      <c r="U4">
        <v>3226.8031012341589</v>
      </c>
      <c r="V4">
        <v>2777.0146540089054</v>
      </c>
      <c r="W4">
        <v>2779.3034910467177</v>
      </c>
      <c r="X4">
        <v>3373.0456773745104</v>
      </c>
      <c r="Y4">
        <v>3406.8976239750436</v>
      </c>
      <c r="Z4">
        <v>3156.5823657532746</v>
      </c>
      <c r="AA4">
        <v>3304.0890504357026</v>
      </c>
      <c r="AB4">
        <v>2999.9087231878493</v>
      </c>
      <c r="AC4">
        <v>3122.5401979076614</v>
      </c>
      <c r="AD4">
        <v>3004.3152268524923</v>
      </c>
      <c r="AE4">
        <v>3218.2706137232317</v>
      </c>
      <c r="AF4">
        <v>3445.8286427698258</v>
      </c>
      <c r="AG4">
        <v>3319.9153039238013</v>
      </c>
    </row>
    <row r="5" spans="1:33" x14ac:dyDescent="0.25">
      <c r="A5" t="s">
        <v>3</v>
      </c>
      <c r="B5">
        <v>3342.7860166540095</v>
      </c>
      <c r="C5">
        <v>3334.8958404130271</v>
      </c>
      <c r="D5">
        <v>3232.4909702300852</v>
      </c>
      <c r="E5">
        <v>2976.7852870783368</v>
      </c>
      <c r="F5">
        <v>1802.8942605487198</v>
      </c>
      <c r="G5">
        <v>2406.7459895051779</v>
      </c>
      <c r="H5">
        <v>3026.1326012382278</v>
      </c>
      <c r="I5">
        <v>2715.7978516974958</v>
      </c>
      <c r="J5">
        <v>3251.1374364551084</v>
      </c>
      <c r="K5">
        <v>3262.563529813061</v>
      </c>
      <c r="L5">
        <v>2624.1374573189455</v>
      </c>
      <c r="M5">
        <v>3127.7026803467943</v>
      </c>
      <c r="N5">
        <v>2826.865248449637</v>
      </c>
      <c r="O5">
        <v>2862.3545139490739</v>
      </c>
      <c r="P5">
        <v>3304.4188665968954</v>
      </c>
      <c r="Q5">
        <v>2977.9261235187842</v>
      </c>
      <c r="R5">
        <v>3109.506992003895</v>
      </c>
      <c r="S5">
        <v>2999.4380265447862</v>
      </c>
      <c r="T5">
        <v>3374.1140249050932</v>
      </c>
      <c r="U5">
        <v>2421.4263721950733</v>
      </c>
      <c r="V5">
        <v>2661.9860258261679</v>
      </c>
      <c r="W5">
        <v>2704.9347717341179</v>
      </c>
      <c r="X5">
        <v>2979.0702372021092</v>
      </c>
      <c r="Y5">
        <v>2387.1395687773993</v>
      </c>
      <c r="Z5">
        <v>3080.6908951483097</v>
      </c>
      <c r="AA5">
        <v>3091.4905267452223</v>
      </c>
      <c r="AB5">
        <v>2460.8340126189069</v>
      </c>
      <c r="AC5">
        <v>2874.6915473508971</v>
      </c>
      <c r="AD5">
        <v>2605.9290276971278</v>
      </c>
      <c r="AE5">
        <v>2204.4929348272262</v>
      </c>
      <c r="AF5">
        <v>3031.7274571820171</v>
      </c>
      <c r="AG5">
        <v>2920.2121518003946</v>
      </c>
    </row>
    <row r="6" spans="1:33" x14ac:dyDescent="0.25">
      <c r="A6" t="s">
        <v>4</v>
      </c>
      <c r="B6">
        <v>3734.3759108164572</v>
      </c>
      <c r="C6">
        <v>3537.0077493924864</v>
      </c>
      <c r="D6">
        <v>3419.3965914365658</v>
      </c>
      <c r="E6">
        <v>3572.1166301261728</v>
      </c>
      <c r="F6">
        <v>2861.3075626397258</v>
      </c>
      <c r="G6">
        <v>2975.7223930885621</v>
      </c>
      <c r="H6">
        <v>3633.5458692812617</v>
      </c>
      <c r="I6">
        <v>3306.6967228526828</v>
      </c>
      <c r="J6">
        <v>3516.3708454313469</v>
      </c>
      <c r="K6">
        <v>3437.8316851560521</v>
      </c>
      <c r="L6">
        <v>3348.1744517436305</v>
      </c>
      <c r="M6">
        <v>2951.5714918058966</v>
      </c>
      <c r="N6">
        <v>3331.1520168266861</v>
      </c>
      <c r="O6">
        <v>3234.4598490996841</v>
      </c>
      <c r="P6">
        <v>3311.1066783049005</v>
      </c>
      <c r="Q6">
        <v>3288.808658991089</v>
      </c>
      <c r="R6">
        <v>3342.4527916429997</v>
      </c>
      <c r="S6">
        <v>3394.1215600447595</v>
      </c>
      <c r="T6">
        <v>3660.2364904887777</v>
      </c>
      <c r="U6">
        <v>3240.7561006793203</v>
      </c>
      <c r="V6">
        <v>2656.9602158006492</v>
      </c>
      <c r="W6">
        <v>2783.8764114638557</v>
      </c>
      <c r="X6">
        <v>3207.8139220808407</v>
      </c>
      <c r="Y6">
        <v>3142.2309104552414</v>
      </c>
      <c r="Z6">
        <v>3396.5226611973785</v>
      </c>
      <c r="AA6">
        <v>3432.4121070210836</v>
      </c>
      <c r="AB6">
        <v>3348.745740025422</v>
      </c>
      <c r="AC6">
        <v>3278.9051819203833</v>
      </c>
      <c r="AD6">
        <v>3291.2989575188676</v>
      </c>
      <c r="AE6">
        <v>2465.9330247987809</v>
      </c>
      <c r="AF6">
        <v>3424.8356912411268</v>
      </c>
      <c r="AG6">
        <v>3222.3782305937693</v>
      </c>
    </row>
    <row r="7" spans="1:33" x14ac:dyDescent="0.25">
      <c r="A7" t="s">
        <v>5</v>
      </c>
      <c r="B7">
        <v>3979.91939690442</v>
      </c>
      <c r="C7">
        <v>3808.2657506637488</v>
      </c>
      <c r="D7">
        <v>3923.4189790073583</v>
      </c>
      <c r="E7">
        <v>2955.9287408444197</v>
      </c>
      <c r="F7">
        <v>2692.0269631442379</v>
      </c>
      <c r="G7">
        <v>3065.5990573498375</v>
      </c>
      <c r="H7">
        <v>3775.4102188951219</v>
      </c>
      <c r="I7">
        <v>3269.7763105915437</v>
      </c>
      <c r="J7">
        <v>3677.5089781195961</v>
      </c>
      <c r="K7">
        <v>3689.5596610490052</v>
      </c>
      <c r="L7">
        <v>2951.4148329765221</v>
      </c>
      <c r="M7">
        <v>3265.3936192215879</v>
      </c>
      <c r="N7">
        <v>3485.3340744092084</v>
      </c>
      <c r="O7">
        <v>3357.0247343175397</v>
      </c>
      <c r="P7">
        <v>3694.7252465828233</v>
      </c>
      <c r="Q7">
        <v>3643.6228659147273</v>
      </c>
      <c r="R7">
        <v>3730.5878268905963</v>
      </c>
      <c r="S7">
        <v>3709.0399497479311</v>
      </c>
      <c r="T7">
        <v>3460.3461931769825</v>
      </c>
      <c r="U7">
        <v>3627.7624558148627</v>
      </c>
      <c r="V7">
        <v>3169.9246458379894</v>
      </c>
      <c r="W7">
        <v>2790.2019360102104</v>
      </c>
      <c r="X7">
        <v>3219.0857912549727</v>
      </c>
      <c r="Y7">
        <v>3313.7115365730183</v>
      </c>
      <c r="Z7">
        <v>3623.3353458857346</v>
      </c>
      <c r="AA7">
        <v>3674.2084175757218</v>
      </c>
      <c r="AB7">
        <v>3174.6511879284326</v>
      </c>
      <c r="AC7">
        <v>3645.1501681091322</v>
      </c>
      <c r="AD7">
        <v>3726.9564689618028</v>
      </c>
      <c r="AE7">
        <v>3698.7483802572951</v>
      </c>
      <c r="AF7">
        <v>4080.6867680834157</v>
      </c>
      <c r="AG7">
        <v>3669.2694515183357</v>
      </c>
    </row>
    <row r="8" spans="1:33" x14ac:dyDescent="0.25">
      <c r="A8" t="s">
        <v>6</v>
      </c>
      <c r="B8">
        <v>3358.1620566306592</v>
      </c>
      <c r="C8">
        <v>3353.5895297432462</v>
      </c>
      <c r="D8">
        <v>3085.5996166795276</v>
      </c>
      <c r="E8">
        <v>2985.949261448799</v>
      </c>
      <c r="F8">
        <v>2878.1274794402316</v>
      </c>
      <c r="G8">
        <v>2172.5199660165749</v>
      </c>
      <c r="H8">
        <v>3272.0589777033988</v>
      </c>
      <c r="I8">
        <v>3176.20780180359</v>
      </c>
      <c r="J8">
        <v>3456.7642331372354</v>
      </c>
      <c r="K8">
        <v>3472.4700795486669</v>
      </c>
      <c r="L8">
        <v>3228.3024002689085</v>
      </c>
      <c r="M8">
        <v>3213.5622074351709</v>
      </c>
      <c r="N8">
        <v>2818.8634252839865</v>
      </c>
      <c r="O8">
        <v>2277.8441347754497</v>
      </c>
      <c r="P8">
        <v>3319.8414899748482</v>
      </c>
      <c r="Q8">
        <v>3245.0152929365081</v>
      </c>
      <c r="R8">
        <v>3269.1191250765505</v>
      </c>
      <c r="S8">
        <v>3509.6923149322884</v>
      </c>
      <c r="T8">
        <v>2810.1103452418579</v>
      </c>
      <c r="U8">
        <v>2575.1268493142989</v>
      </c>
      <c r="V8">
        <v>2313.5612330828208</v>
      </c>
      <c r="W8">
        <v>1942.1369457053179</v>
      </c>
      <c r="X8">
        <v>2367.7808240732575</v>
      </c>
      <c r="Y8">
        <v>2258.5552491626431</v>
      </c>
      <c r="Z8">
        <v>2644.2976315610745</v>
      </c>
      <c r="AA8">
        <v>3218.8702684323462</v>
      </c>
      <c r="AB8">
        <v>3378.5198855050753</v>
      </c>
      <c r="AC8">
        <v>2995.8643179696592</v>
      </c>
      <c r="AD8">
        <v>3128.3887024980877</v>
      </c>
      <c r="AE8">
        <v>3191.843039870671</v>
      </c>
      <c r="AF8">
        <v>2784.7580259553079</v>
      </c>
      <c r="AG8">
        <v>2772.9909149381792</v>
      </c>
    </row>
    <row r="9" spans="1:33" x14ac:dyDescent="0.25">
      <c r="A9" t="s">
        <v>7</v>
      </c>
      <c r="B9">
        <v>3775.1178037803638</v>
      </c>
      <c r="C9">
        <v>3821.185721995058</v>
      </c>
      <c r="D9">
        <v>3613.5072784084568</v>
      </c>
      <c r="E9">
        <v>3474.8865456185995</v>
      </c>
      <c r="F9">
        <v>2795.9059492386041</v>
      </c>
      <c r="G9">
        <v>2799.1499544167891</v>
      </c>
      <c r="H9">
        <v>3448.4911559561333</v>
      </c>
      <c r="I9">
        <v>3543.2828348857229</v>
      </c>
      <c r="J9">
        <v>3824.3255230446848</v>
      </c>
      <c r="K9">
        <v>3834.543597678542</v>
      </c>
      <c r="L9">
        <v>3644.3469581651489</v>
      </c>
      <c r="M9">
        <v>3514.0800580962559</v>
      </c>
      <c r="N9">
        <v>3387.7471964481165</v>
      </c>
      <c r="O9">
        <v>3044.3909090404104</v>
      </c>
      <c r="P9">
        <v>3406.8254562123179</v>
      </c>
      <c r="Q9">
        <v>3457.2464829388905</v>
      </c>
      <c r="R9">
        <v>3662.8047275409972</v>
      </c>
      <c r="S9">
        <v>3830.8699109586723</v>
      </c>
      <c r="T9">
        <v>3273.7520191576205</v>
      </c>
      <c r="U9">
        <v>3326.4840882380358</v>
      </c>
      <c r="V9">
        <v>2732.6173170037946</v>
      </c>
      <c r="W9">
        <v>2888.2383686747089</v>
      </c>
      <c r="X9">
        <v>3250.3671850152614</v>
      </c>
      <c r="Y9">
        <v>3345.715122748742</v>
      </c>
      <c r="Z9">
        <v>3625.406090227676</v>
      </c>
      <c r="AA9">
        <v>3587.2186301071588</v>
      </c>
      <c r="AB9">
        <v>3439.3587280423262</v>
      </c>
      <c r="AC9">
        <v>3473.7775083578808</v>
      </c>
      <c r="AD9">
        <v>3316.4707303297982</v>
      </c>
      <c r="AE9">
        <v>3313.6940254386168</v>
      </c>
      <c r="AF9">
        <v>3690.8558300705045</v>
      </c>
      <c r="AG9">
        <v>3408.8348623445945</v>
      </c>
    </row>
    <row r="10" spans="1:33" x14ac:dyDescent="0.25">
      <c r="A10" t="s">
        <v>8</v>
      </c>
      <c r="B10">
        <v>2913.3489202092132</v>
      </c>
      <c r="C10">
        <v>3023.7730763826557</v>
      </c>
      <c r="D10">
        <v>2665.02545026588</v>
      </c>
      <c r="E10">
        <v>2952.521037246951</v>
      </c>
      <c r="F10">
        <v>2214.3398578673887</v>
      </c>
      <c r="G10">
        <v>2205.0655366304227</v>
      </c>
      <c r="H10">
        <v>2877.0064085445138</v>
      </c>
      <c r="I10">
        <v>2890.8191957969275</v>
      </c>
      <c r="J10">
        <v>2967.797861750515</v>
      </c>
      <c r="K10">
        <v>3039.7586350515357</v>
      </c>
      <c r="L10">
        <v>2714.9598508269705</v>
      </c>
      <c r="M10">
        <v>2788.7954025859508</v>
      </c>
      <c r="N10">
        <v>2376.5199118602677</v>
      </c>
      <c r="O10">
        <v>2306.0808889947393</v>
      </c>
      <c r="P10">
        <v>2795.1001161188769</v>
      </c>
      <c r="Q10">
        <v>2903.4290232436056</v>
      </c>
      <c r="R10">
        <v>2972.377108237778</v>
      </c>
      <c r="S10">
        <v>3031.9988187187187</v>
      </c>
      <c r="T10">
        <v>2726.1238471663792</v>
      </c>
      <c r="U10">
        <v>2792.1542846100783</v>
      </c>
      <c r="V10">
        <v>1709.416394017388</v>
      </c>
      <c r="W10">
        <v>2278.754121266009</v>
      </c>
      <c r="X10">
        <v>2733.0978468953335</v>
      </c>
      <c r="Y10">
        <v>2623.6602352305654</v>
      </c>
      <c r="Z10">
        <v>2464.8940904741435</v>
      </c>
      <c r="AA10">
        <v>2620.1810470462597</v>
      </c>
      <c r="AB10">
        <v>2700.8735813956819</v>
      </c>
      <c r="AC10">
        <v>2670.4254036746979</v>
      </c>
      <c r="AD10">
        <v>2665.6444760852155</v>
      </c>
      <c r="AE10">
        <v>2786.3104354625143</v>
      </c>
      <c r="AF10">
        <v>2447.2531060406773</v>
      </c>
      <c r="AG10">
        <v>2874.2431740759662</v>
      </c>
    </row>
    <row r="11" spans="1:33" x14ac:dyDescent="0.25">
      <c r="A11" t="s">
        <v>9</v>
      </c>
      <c r="B11">
        <v>3141.4041677940959</v>
      </c>
      <c r="C11">
        <v>2969.4927580641543</v>
      </c>
      <c r="D11">
        <v>3145.4980262323497</v>
      </c>
      <c r="E11">
        <v>2902.8380925734691</v>
      </c>
      <c r="F11">
        <v>2127.8773488022939</v>
      </c>
      <c r="G11">
        <v>1846.4248157803859</v>
      </c>
      <c r="H11">
        <v>3171.3684518281489</v>
      </c>
      <c r="I11">
        <v>3212.8004655199607</v>
      </c>
      <c r="J11">
        <v>3428.7224238843137</v>
      </c>
      <c r="K11">
        <v>3313.5769842613772</v>
      </c>
      <c r="L11">
        <v>3390.2679415765847</v>
      </c>
      <c r="M11">
        <v>2866.6130715579452</v>
      </c>
      <c r="N11">
        <v>3273.5190629808635</v>
      </c>
      <c r="O11">
        <v>3127.06170977277</v>
      </c>
      <c r="P11">
        <v>2683.3729811047533</v>
      </c>
      <c r="Q11">
        <v>2500.4546434206304</v>
      </c>
      <c r="R11">
        <v>3240.4509348806941</v>
      </c>
      <c r="S11">
        <v>3207.7538805325448</v>
      </c>
      <c r="T11">
        <v>3247.1942023304009</v>
      </c>
      <c r="U11">
        <v>3142.7475310290847</v>
      </c>
      <c r="V11">
        <v>2372.6347525844121</v>
      </c>
      <c r="W11">
        <v>2282.0938237400692</v>
      </c>
      <c r="X11">
        <v>3349.6382153288678</v>
      </c>
      <c r="Y11">
        <v>3301.2560753979415</v>
      </c>
      <c r="Z11">
        <v>3315.5873297470853</v>
      </c>
      <c r="AA11">
        <v>3535.4639355388072</v>
      </c>
      <c r="AB11">
        <v>3110.0125483119473</v>
      </c>
      <c r="AC11">
        <v>3044.9203105508636</v>
      </c>
      <c r="AD11">
        <v>2240.0889448203588</v>
      </c>
      <c r="AE11">
        <v>2655.0757867888046</v>
      </c>
      <c r="AF11">
        <v>3147.9665102752338</v>
      </c>
      <c r="AG11">
        <v>2884.6993399345038</v>
      </c>
    </row>
    <row r="12" spans="1:33" x14ac:dyDescent="0.25">
      <c r="A12" t="s">
        <v>10</v>
      </c>
      <c r="B12">
        <v>3369.1426762925039</v>
      </c>
      <c r="C12">
        <v>2571.5676138355379</v>
      </c>
      <c r="D12">
        <v>3153.1533759814561</v>
      </c>
      <c r="E12">
        <v>2901.1882792823276</v>
      </c>
      <c r="F12">
        <v>2556.2973092705051</v>
      </c>
      <c r="G12">
        <v>2019.6524519531235</v>
      </c>
      <c r="H12">
        <v>2913.9976866708521</v>
      </c>
      <c r="I12">
        <v>3238.3723740102614</v>
      </c>
      <c r="J12">
        <v>2996.6165982958901</v>
      </c>
      <c r="K12">
        <v>2886.0168514593765</v>
      </c>
      <c r="L12">
        <v>2970.4230378671227</v>
      </c>
      <c r="M12">
        <v>2864.2773549201129</v>
      </c>
      <c r="N12">
        <v>2586.1621696772936</v>
      </c>
      <c r="O12">
        <v>2812.1360286685976</v>
      </c>
      <c r="P12">
        <v>2506.274800504274</v>
      </c>
      <c r="Q12">
        <v>3211.8898730391534</v>
      </c>
      <c r="R12">
        <v>2487.3747584962348</v>
      </c>
      <c r="S12">
        <v>2950.2766164249483</v>
      </c>
      <c r="T12">
        <v>2342.7131419841367</v>
      </c>
      <c r="U12">
        <v>2675.2824442962383</v>
      </c>
      <c r="V12">
        <v>2443.2715211317518</v>
      </c>
      <c r="W12">
        <v>2828.3894899657671</v>
      </c>
      <c r="X12">
        <v>2421.6660347801026</v>
      </c>
      <c r="Y12">
        <v>2529.5156295219476</v>
      </c>
      <c r="Z12">
        <v>3092.2206039542439</v>
      </c>
      <c r="AA12">
        <v>3014.7286513252147</v>
      </c>
      <c r="AB12">
        <v>2886.9875572138644</v>
      </c>
      <c r="AC12">
        <v>2816.6503982880886</v>
      </c>
      <c r="AD12">
        <v>2191.069666187127</v>
      </c>
      <c r="AE12">
        <v>2504.2135991627219</v>
      </c>
      <c r="AF12">
        <v>3016.0358465792342</v>
      </c>
      <c r="AG12">
        <v>3026.7574423578153</v>
      </c>
    </row>
    <row r="13" spans="1:33" x14ac:dyDescent="0.25">
      <c r="A13" t="s">
        <v>11</v>
      </c>
      <c r="B13">
        <v>2670.4950308340867</v>
      </c>
      <c r="C13">
        <v>2910.6400368241734</v>
      </c>
      <c r="D13">
        <v>2476.6526414163764</v>
      </c>
      <c r="E13">
        <v>2871.0377742799433</v>
      </c>
      <c r="F13">
        <v>1746.6576464307432</v>
      </c>
      <c r="G13">
        <v>2231.3196952106191</v>
      </c>
      <c r="H13">
        <v>2695.9738451615403</v>
      </c>
      <c r="I13">
        <v>2599.9228782892433</v>
      </c>
      <c r="J13">
        <v>2803.2824561724092</v>
      </c>
      <c r="K13">
        <v>2353.947650726077</v>
      </c>
      <c r="L13">
        <v>2060.7413324091208</v>
      </c>
      <c r="M13">
        <v>2339.2398870725237</v>
      </c>
      <c r="N13">
        <v>1961.5488210973601</v>
      </c>
      <c r="O13">
        <v>2385.7386983702654</v>
      </c>
      <c r="P13">
        <v>2594.8892885521109</v>
      </c>
      <c r="Q13">
        <v>1956.6144511711313</v>
      </c>
      <c r="R13">
        <v>2821.0823807882534</v>
      </c>
      <c r="S13">
        <v>2756.2387514286193</v>
      </c>
      <c r="T13">
        <v>2437.1987763537627</v>
      </c>
      <c r="U13">
        <v>2344.8191466063799</v>
      </c>
      <c r="V13">
        <v>2332.6252922678182</v>
      </c>
      <c r="W13">
        <v>2165.5443613515713</v>
      </c>
      <c r="X13">
        <v>2453.6091343708918</v>
      </c>
      <c r="Y13">
        <v>2625.5805177040156</v>
      </c>
      <c r="Z13">
        <v>2554.2509598341567</v>
      </c>
      <c r="AA13">
        <v>2451.1691341156802</v>
      </c>
      <c r="AB13">
        <v>2355.3601491413751</v>
      </c>
      <c r="AC13">
        <v>2413.9498474815346</v>
      </c>
      <c r="AD13">
        <v>2194.8336050969328</v>
      </c>
      <c r="AE13">
        <v>2085.4343644369633</v>
      </c>
      <c r="AF13">
        <v>2665.9871466340537</v>
      </c>
      <c r="AG13">
        <v>2256.8675119095296</v>
      </c>
    </row>
    <row r="14" spans="1:33" x14ac:dyDescent="0.25">
      <c r="A14" t="s">
        <v>12</v>
      </c>
      <c r="B14">
        <v>3195.6210407508506</v>
      </c>
      <c r="C14">
        <v>3209.3299608305761</v>
      </c>
      <c r="D14">
        <v>3054.3774156231002</v>
      </c>
      <c r="E14">
        <v>2339.6097538576546</v>
      </c>
      <c r="F14">
        <v>1741.9146632006527</v>
      </c>
      <c r="G14">
        <v>2097.2772278965231</v>
      </c>
      <c r="H14">
        <v>3088.8659021879666</v>
      </c>
      <c r="I14">
        <v>2926.0666418162964</v>
      </c>
      <c r="J14">
        <v>3194.0096231572288</v>
      </c>
      <c r="K14">
        <v>3205.2895389634928</v>
      </c>
      <c r="L14">
        <v>2547.3854480310733</v>
      </c>
      <c r="M14">
        <v>2707.8415549841402</v>
      </c>
      <c r="N14">
        <v>2795.1181128658855</v>
      </c>
      <c r="O14">
        <v>2799.6578011146075</v>
      </c>
      <c r="P14">
        <v>3137.5529718253265</v>
      </c>
      <c r="Q14">
        <v>2936.5765819647104</v>
      </c>
      <c r="R14">
        <v>2876.4876317626795</v>
      </c>
      <c r="S14">
        <v>2743.3494048585367</v>
      </c>
      <c r="T14">
        <v>2775.9303445902601</v>
      </c>
      <c r="U14">
        <v>2406.9707634464548</v>
      </c>
      <c r="V14">
        <v>2402.5632977727628</v>
      </c>
      <c r="W14">
        <v>2056.8390825862725</v>
      </c>
      <c r="X14">
        <v>2557.4394121758901</v>
      </c>
      <c r="Y14">
        <v>2534.2956617668037</v>
      </c>
      <c r="Z14">
        <v>2687.2146956807883</v>
      </c>
      <c r="AA14">
        <v>2979.4183965055136</v>
      </c>
      <c r="AB14">
        <v>1972.1354743158938</v>
      </c>
      <c r="AC14">
        <v>2655.3640779412403</v>
      </c>
      <c r="AD14">
        <v>2534.4453951506557</v>
      </c>
      <c r="AE14">
        <v>2530.495912598225</v>
      </c>
      <c r="AF14">
        <v>3110.1947903220371</v>
      </c>
      <c r="AG14">
        <v>2806.7153923662759</v>
      </c>
    </row>
    <row r="15" spans="1:33" x14ac:dyDescent="0.25">
      <c r="A15" t="s">
        <v>13</v>
      </c>
      <c r="B15">
        <v>3284.3269544063633</v>
      </c>
      <c r="C15">
        <v>3537.524481221295</v>
      </c>
      <c r="D15">
        <v>3456.0867126032313</v>
      </c>
      <c r="E15">
        <v>3041.5718404462714</v>
      </c>
      <c r="F15">
        <v>2446.5028092664252</v>
      </c>
      <c r="G15">
        <v>1901.711831123886</v>
      </c>
      <c r="H15">
        <v>3514.1601019721738</v>
      </c>
      <c r="I15">
        <v>2978.8024201501285</v>
      </c>
      <c r="J15">
        <v>3539.1154482639045</v>
      </c>
      <c r="K15">
        <v>3541.782067134719</v>
      </c>
      <c r="L15">
        <v>3715.6063151380149</v>
      </c>
      <c r="M15">
        <v>3144.4204507122959</v>
      </c>
      <c r="N15">
        <v>3088.636169988712</v>
      </c>
      <c r="O15">
        <v>3240.7107234548339</v>
      </c>
      <c r="P15">
        <v>3461.1419188341051</v>
      </c>
      <c r="Q15">
        <v>2885.6376743761848</v>
      </c>
      <c r="R15">
        <v>3470.2957706338461</v>
      </c>
      <c r="S15">
        <v>3348.7005143768579</v>
      </c>
      <c r="T15">
        <v>2929.4743923158776</v>
      </c>
      <c r="U15">
        <v>2902.1491623633497</v>
      </c>
      <c r="V15">
        <v>2709.8538265703387</v>
      </c>
      <c r="W15">
        <v>2299.8975268830764</v>
      </c>
      <c r="X15">
        <v>3161.7474686887899</v>
      </c>
      <c r="Y15">
        <v>3422.1651818967921</v>
      </c>
      <c r="Z15">
        <v>3180.2590162063889</v>
      </c>
      <c r="AA15">
        <v>3356.7636334625031</v>
      </c>
      <c r="AB15">
        <v>3613.8237295198714</v>
      </c>
      <c r="AC15">
        <v>3254.2555372976444</v>
      </c>
      <c r="AD15">
        <v>3150.4518776321675</v>
      </c>
      <c r="AE15">
        <v>3289.1933520668681</v>
      </c>
      <c r="AF15">
        <v>3436.449921258336</v>
      </c>
      <c r="AG15">
        <v>3449.691230720055</v>
      </c>
    </row>
    <row r="16" spans="1:33" x14ac:dyDescent="0.25">
      <c r="A16" t="s">
        <v>14</v>
      </c>
      <c r="B16">
        <v>2905.0573035188681</v>
      </c>
      <c r="C16">
        <v>3042.988223109528</v>
      </c>
      <c r="D16">
        <v>3422.1021406890568</v>
      </c>
      <c r="E16">
        <v>3566.4234923754907</v>
      </c>
      <c r="F16">
        <v>2938.7138926121943</v>
      </c>
      <c r="G16">
        <v>2517.7677767743962</v>
      </c>
      <c r="H16">
        <v>3218.0292209777899</v>
      </c>
      <c r="I16">
        <v>2577.3297026062419</v>
      </c>
      <c r="J16">
        <v>3581.7785184733584</v>
      </c>
      <c r="K16">
        <v>3306.7113414920505</v>
      </c>
      <c r="L16">
        <v>3185.8494510573719</v>
      </c>
      <c r="M16">
        <v>3151.8242768323589</v>
      </c>
      <c r="N16">
        <v>2845.2853640291296</v>
      </c>
      <c r="O16">
        <v>3223.9277492574652</v>
      </c>
      <c r="P16">
        <v>3328.0054227889736</v>
      </c>
      <c r="Q16">
        <v>3501.7750367231515</v>
      </c>
      <c r="R16">
        <v>3509.0406512311183</v>
      </c>
      <c r="S16">
        <v>3686.9380604981188</v>
      </c>
      <c r="T16">
        <v>3637.1198356626146</v>
      </c>
      <c r="U16">
        <v>3709.7461954293158</v>
      </c>
      <c r="V16">
        <v>3213.2623264500644</v>
      </c>
      <c r="W16">
        <v>2992.6235842118481</v>
      </c>
      <c r="X16">
        <v>3564.5575288021118</v>
      </c>
      <c r="Y16">
        <v>3742.5342167816179</v>
      </c>
      <c r="Z16">
        <v>3841.2641978481311</v>
      </c>
      <c r="AA16">
        <v>3585.8804053050544</v>
      </c>
      <c r="AB16">
        <v>3134.791068381176</v>
      </c>
      <c r="AC16">
        <v>3102.0133488318115</v>
      </c>
      <c r="AD16">
        <v>3714.7526246068501</v>
      </c>
      <c r="AE16">
        <v>3524.6495189250672</v>
      </c>
      <c r="AF16">
        <v>3796.6218174945816</v>
      </c>
      <c r="AG16">
        <v>3267.7269292175761</v>
      </c>
    </row>
    <row r="17" spans="1:33" x14ac:dyDescent="0.25">
      <c r="A17" t="s">
        <v>15</v>
      </c>
      <c r="B17">
        <v>3499.0716735326282</v>
      </c>
      <c r="C17">
        <v>3010.764625747971</v>
      </c>
      <c r="D17">
        <v>3784.316449352621</v>
      </c>
      <c r="E17">
        <v>3069.0895847968582</v>
      </c>
      <c r="F17">
        <v>2348.165540652114</v>
      </c>
      <c r="G17">
        <v>2490.1323264129533</v>
      </c>
      <c r="H17">
        <v>3652.9975766420966</v>
      </c>
      <c r="I17">
        <v>3628.216947897934</v>
      </c>
      <c r="J17">
        <v>3492.6964057776877</v>
      </c>
      <c r="K17">
        <v>3421.7236128111836</v>
      </c>
      <c r="L17">
        <v>3201.5409641194587</v>
      </c>
      <c r="M17">
        <v>3319.7871987034314</v>
      </c>
      <c r="N17">
        <v>2625.8229510062356</v>
      </c>
      <c r="O17">
        <v>2743.5278732638999</v>
      </c>
      <c r="P17">
        <v>3248.7379733143675</v>
      </c>
      <c r="Q17">
        <v>2936.2946425217733</v>
      </c>
      <c r="R17">
        <v>3233.2749128495484</v>
      </c>
      <c r="S17">
        <v>3036.4378486906944</v>
      </c>
      <c r="T17">
        <v>3083.7703848156589</v>
      </c>
      <c r="U17">
        <v>2595.2066237057752</v>
      </c>
      <c r="V17">
        <v>2059.4062196344876</v>
      </c>
      <c r="W17">
        <v>2577.6873128724164</v>
      </c>
      <c r="X17">
        <v>3004.1319295503081</v>
      </c>
      <c r="Y17">
        <v>3052.6682985674788</v>
      </c>
      <c r="Z17">
        <v>3439.1228443702134</v>
      </c>
      <c r="AA17">
        <v>3401.3342247295395</v>
      </c>
      <c r="AB17">
        <v>3218.3059517703714</v>
      </c>
      <c r="AC17">
        <v>2982.7336931078808</v>
      </c>
      <c r="AD17">
        <v>2206.9407790933474</v>
      </c>
      <c r="AE17">
        <v>2899.2993062596947</v>
      </c>
      <c r="AF17">
        <v>3375.5339500535874</v>
      </c>
      <c r="AG17">
        <v>3001.8078414579613</v>
      </c>
    </row>
    <row r="18" spans="1:33" x14ac:dyDescent="0.25">
      <c r="A18" t="s">
        <v>16</v>
      </c>
      <c r="B18">
        <v>3324.7651569015247</v>
      </c>
      <c r="C18">
        <v>3256.2661623470676</v>
      </c>
      <c r="D18">
        <v>3194.0872578267972</v>
      </c>
      <c r="E18">
        <v>3095.3990785968094</v>
      </c>
      <c r="F18">
        <v>2415.276873116843</v>
      </c>
      <c r="G18">
        <v>2427.0772058288098</v>
      </c>
      <c r="H18">
        <v>3210.5854562484305</v>
      </c>
      <c r="I18">
        <v>3076.3645392363564</v>
      </c>
      <c r="J18">
        <v>3323.9986095849908</v>
      </c>
      <c r="K18">
        <v>3267.9942390955662</v>
      </c>
      <c r="L18">
        <v>3032.8584516804535</v>
      </c>
      <c r="M18">
        <v>3035.0433992722687</v>
      </c>
      <c r="N18">
        <v>2893.2005671788147</v>
      </c>
      <c r="O18">
        <v>2891.7493193155819</v>
      </c>
      <c r="P18">
        <v>3175.9211198211174</v>
      </c>
      <c r="Q18">
        <v>3063.8161490187317</v>
      </c>
      <c r="R18">
        <v>3235.0979063986715</v>
      </c>
      <c r="S18">
        <v>3269.2203633199297</v>
      </c>
      <c r="T18">
        <v>3068.5541144994795</v>
      </c>
      <c r="U18">
        <v>2906.7055171252664</v>
      </c>
      <c r="V18">
        <v>2576.0489705742248</v>
      </c>
      <c r="W18">
        <v>2539.8965501913394</v>
      </c>
      <c r="X18">
        <v>2987.8237719576823</v>
      </c>
      <c r="Y18">
        <v>3015.4937083811355</v>
      </c>
      <c r="Z18">
        <v>3135.4768117464209</v>
      </c>
      <c r="AA18">
        <v>3198.3655753961984</v>
      </c>
      <c r="AB18">
        <v>2957.5628226304757</v>
      </c>
      <c r="AC18">
        <v>2982.6057218155106</v>
      </c>
      <c r="AD18">
        <v>2824.1375539041101</v>
      </c>
      <c r="AE18">
        <v>2842.7132722204988</v>
      </c>
      <c r="AF18">
        <v>3251.4320907870892</v>
      </c>
      <c r="AG18">
        <v>3035.5951151700633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3324.6181516936831</v>
      </c>
      <c r="C20" s="3">
        <f t="shared" ref="C20:AG20" si="0">AVERAGE(C4:C18)</f>
        <v>3246.3812478027239</v>
      </c>
      <c r="D20" s="3">
        <f t="shared" si="0"/>
        <v>3251.8643188895471</v>
      </c>
      <c r="E20" s="3">
        <f t="shared" si="0"/>
        <v>3072.9981014868094</v>
      </c>
      <c r="F20" s="3">
        <f t="shared" si="0"/>
        <v>2426.3274293650229</v>
      </c>
      <c r="G20" s="3">
        <f t="shared" si="0"/>
        <v>2399.7588543210904</v>
      </c>
      <c r="H20" s="3">
        <f t="shared" si="0"/>
        <v>3242.1995384145894</v>
      </c>
      <c r="I20" s="3">
        <f t="shared" si="0"/>
        <v>3087.1173040715848</v>
      </c>
      <c r="J20" s="3">
        <f t="shared" si="0"/>
        <v>3342.7882365839005</v>
      </c>
      <c r="K20" s="3">
        <f t="shared" si="0"/>
        <v>3290.5575603557968</v>
      </c>
      <c r="L20" s="3">
        <f t="shared" si="0"/>
        <v>3051.8091851512113</v>
      </c>
      <c r="M20" s="3">
        <f t="shared" si="0"/>
        <v>3030.2470272099622</v>
      </c>
      <c r="N20" s="3">
        <f t="shared" si="0"/>
        <v>2883.5253975583068</v>
      </c>
      <c r="O20" s="3">
        <f t="shared" si="0"/>
        <v>2881.0383918578245</v>
      </c>
      <c r="P20" s="3">
        <f t="shared" si="0"/>
        <v>3148.5900352518138</v>
      </c>
      <c r="Q20" s="4">
        <f t="shared" si="0"/>
        <v>3047.4452206498372</v>
      </c>
      <c r="R20" s="2">
        <f t="shared" si="0"/>
        <v>3219.7587691423055</v>
      </c>
      <c r="S20" s="3">
        <f t="shared" si="0"/>
        <v>3265.3721796316104</v>
      </c>
      <c r="T20" s="3">
        <f t="shared" si="0"/>
        <v>3094.7306025300827</v>
      </c>
      <c r="U20" s="3">
        <f t="shared" si="0"/>
        <v>2926.2760424058461</v>
      </c>
      <c r="V20" s="3">
        <f t="shared" si="0"/>
        <v>2542.076446170905</v>
      </c>
      <c r="W20" s="3">
        <f t="shared" si="0"/>
        <v>2527.3611851802202</v>
      </c>
      <c r="X20" s="3">
        <f t="shared" si="0"/>
        <v>2975.3916653033948</v>
      </c>
      <c r="Y20" s="3">
        <f t="shared" si="0"/>
        <v>2980.0946357960261</v>
      </c>
      <c r="Z20" s="3">
        <f t="shared" si="0"/>
        <v>3149.1417026423346</v>
      </c>
      <c r="AA20" s="3">
        <f t="shared" si="0"/>
        <v>3230.1062669161338</v>
      </c>
      <c r="AB20" s="3">
        <f t="shared" si="0"/>
        <v>2983.4580773325788</v>
      </c>
      <c r="AC20" s="3">
        <f t="shared" si="0"/>
        <v>3020.9231507069921</v>
      </c>
      <c r="AD20" s="3">
        <f t="shared" si="0"/>
        <v>2853.0482690956628</v>
      </c>
      <c r="AE20" s="3">
        <f t="shared" si="0"/>
        <v>2880.691171122478</v>
      </c>
      <c r="AF20" s="3">
        <f t="shared" si="0"/>
        <v>3247.0778396498008</v>
      </c>
      <c r="AG20" s="3">
        <f t="shared" si="0"/>
        <v>3061.1803261552554</v>
      </c>
    </row>
    <row r="21" spans="1:33" x14ac:dyDescent="0.25">
      <c r="A21" s="2" t="s">
        <v>34</v>
      </c>
      <c r="B21" s="3">
        <f>_xlfn.STDEV.S(B4:B18)</f>
        <v>344.51121672199719</v>
      </c>
      <c r="C21" s="3">
        <f t="shared" ref="C21:AG21" si="1">_xlfn.STDEV.S(C4:C18)</f>
        <v>341.34108734933017</v>
      </c>
      <c r="D21" s="3">
        <f t="shared" si="1"/>
        <v>378.9744761919614</v>
      </c>
      <c r="E21" s="3">
        <f t="shared" si="1"/>
        <v>320.49449387099412</v>
      </c>
      <c r="F21" s="3">
        <f t="shared" si="1"/>
        <v>422.72122606164766</v>
      </c>
      <c r="G21" s="3">
        <f t="shared" si="1"/>
        <v>383.55500435732756</v>
      </c>
      <c r="H21" s="3">
        <f t="shared" si="1"/>
        <v>310.70197911241848</v>
      </c>
      <c r="I21" s="3">
        <f t="shared" si="1"/>
        <v>310.15837156976096</v>
      </c>
      <c r="J21" s="3">
        <f t="shared" si="1"/>
        <v>287.8532924103061</v>
      </c>
      <c r="K21" s="3">
        <f t="shared" si="1"/>
        <v>348.92976477078179</v>
      </c>
      <c r="L21" s="3">
        <f t="shared" si="1"/>
        <v>433.23472940644103</v>
      </c>
      <c r="M21" s="3">
        <f t="shared" si="1"/>
        <v>288.11961791178283</v>
      </c>
      <c r="N21" s="3">
        <f t="shared" si="1"/>
        <v>404.88592581949661</v>
      </c>
      <c r="O21" s="3">
        <f t="shared" si="1"/>
        <v>344.01826546509682</v>
      </c>
      <c r="P21" s="3">
        <f t="shared" si="1"/>
        <v>344.22839080165386</v>
      </c>
      <c r="Q21" s="4">
        <f t="shared" si="1"/>
        <v>417.81375726527631</v>
      </c>
      <c r="R21" s="2">
        <f t="shared" si="1"/>
        <v>329.73521655921837</v>
      </c>
      <c r="S21" s="3">
        <f t="shared" si="1"/>
        <v>343.05812672965396</v>
      </c>
      <c r="T21" s="3">
        <f t="shared" si="1"/>
        <v>420.46774146125426</v>
      </c>
      <c r="U21" s="3">
        <f t="shared" si="1"/>
        <v>437.4974953483308</v>
      </c>
      <c r="V21" s="3">
        <f t="shared" si="1"/>
        <v>384.83621006782147</v>
      </c>
      <c r="W21" s="3">
        <f t="shared" si="1"/>
        <v>331.48939890513731</v>
      </c>
      <c r="X21" s="3">
        <f t="shared" si="1"/>
        <v>382.7995608254115</v>
      </c>
      <c r="Y21" s="3">
        <f t="shared" si="1"/>
        <v>452.49557446302424</v>
      </c>
      <c r="Z21" s="3">
        <f t="shared" si="1"/>
        <v>414.31365494892037</v>
      </c>
      <c r="AA21" s="3">
        <f t="shared" si="1"/>
        <v>353.01441792421451</v>
      </c>
      <c r="AB21" s="3">
        <f t="shared" si="1"/>
        <v>447.68127053968647</v>
      </c>
      <c r="AC21" s="3">
        <f t="shared" si="1"/>
        <v>319.01377257165802</v>
      </c>
      <c r="AD21" s="3">
        <f t="shared" si="1"/>
        <v>532.07040974946995</v>
      </c>
      <c r="AE21" s="3">
        <f t="shared" si="1"/>
        <v>480.82616945646237</v>
      </c>
      <c r="AF21" s="3">
        <f t="shared" si="1"/>
        <v>433.98194574875487</v>
      </c>
      <c r="AG21" s="3">
        <f t="shared" si="1"/>
        <v>344.6757453501221</v>
      </c>
    </row>
    <row r="22" spans="1:33" x14ac:dyDescent="0.25">
      <c r="A22" s="2" t="s">
        <v>35</v>
      </c>
      <c r="B22" s="3">
        <f>AVERAGE(B4:Q18)</f>
        <v>3045.4541250414818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2997.2930206113524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443.15061625819533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447.62112420496129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3083.9652866135093</v>
      </c>
      <c r="C26" s="2">
        <f>AVERAGE(C20,E20,G20,I20,K20,M20,O20,Q20)</f>
        <v>3006.9429634694534</v>
      </c>
      <c r="E26" s="2">
        <f>AVERAGE(D20,E20,F20,G20,H20,I20)</f>
        <v>2913.3775910914405</v>
      </c>
      <c r="F26" s="2">
        <f>AVERAGE(L20:Q20)</f>
        <v>3007.1092096131592</v>
      </c>
      <c r="G26" s="2">
        <f>AVERAGE(B20,C20,J20,K20)</f>
        <v>3301.0862991090262</v>
      </c>
      <c r="Q26" s="5"/>
      <c r="R26" s="2">
        <f>AVERAGE(R20,T20,V20,X20,Z20,AB20,AD20,AF20)</f>
        <v>3008.0854214833835</v>
      </c>
      <c r="S26" s="2">
        <f>AVERAGE(S20,U20,W20,Y20,AA20,AC20,AE20,AG20)</f>
        <v>2986.5006197393204</v>
      </c>
      <c r="U26" s="2">
        <f>AVERAGE(T20:Y20)</f>
        <v>2840.9884295644129</v>
      </c>
      <c r="V26" s="2">
        <f>AVERAGE(AB20:AG20)</f>
        <v>3007.7298056771283</v>
      </c>
      <c r="W26" s="2">
        <f>AVERAGE(R20:S20,Z20:AA20)</f>
        <v>3216.0947295830965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0.23816020094580956</v>
      </c>
      <c r="C28" s="3">
        <f t="shared" ref="C28:Q28" si="2">_xlfn.T.TEST(C4:C18,S4:S18,2,1)</f>
        <v>0.79624565078130582</v>
      </c>
      <c r="D28" s="3">
        <f t="shared" si="2"/>
        <v>0.11979157943370464</v>
      </c>
      <c r="E28" s="3">
        <f t="shared" si="2"/>
        <v>0.10238522071761282</v>
      </c>
      <c r="F28" s="3">
        <f t="shared" si="2"/>
        <v>0.30615949048807101</v>
      </c>
      <c r="G28" s="3">
        <f t="shared" si="2"/>
        <v>0.12468379564278671</v>
      </c>
      <c r="H28" s="3">
        <f t="shared" si="2"/>
        <v>1.0054285815230407E-2</v>
      </c>
      <c r="I28" s="3">
        <f t="shared" si="2"/>
        <v>0.42290343675905029</v>
      </c>
      <c r="J28" s="3">
        <f t="shared" si="2"/>
        <v>1.4653428013020366E-2</v>
      </c>
      <c r="K28" s="3">
        <f t="shared" si="2"/>
        <v>0.24468306567130019</v>
      </c>
      <c r="L28" s="3">
        <f t="shared" si="2"/>
        <v>0.22875425035156596</v>
      </c>
      <c r="M28" s="3">
        <f t="shared" si="2"/>
        <v>0.85830979857397449</v>
      </c>
      <c r="N28" s="3">
        <f t="shared" si="2"/>
        <v>0.78687937767607274</v>
      </c>
      <c r="O28" s="3">
        <f t="shared" si="2"/>
        <v>0.99771320050835277</v>
      </c>
      <c r="P28" s="3">
        <f t="shared" si="2"/>
        <v>0.23730843255777578</v>
      </c>
      <c r="Q28" s="3">
        <f t="shared" si="2"/>
        <v>0.83792738593673433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8"/>
  <sheetViews>
    <sheetView workbookViewId="0">
      <selection activeCell="R22" sqref="R22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3280.6792504590576</v>
      </c>
      <c r="C3">
        <v>3373.9941289822336</v>
      </c>
      <c r="D3">
        <v>2281.4092772860949</v>
      </c>
      <c r="E3">
        <v>3418.5604092221483</v>
      </c>
      <c r="F3">
        <v>2205.6261796179051</v>
      </c>
      <c r="G3">
        <v>2810.0856196803384</v>
      </c>
      <c r="H3">
        <v>2713.7778437609468</v>
      </c>
      <c r="I3">
        <v>2905.304833693986</v>
      </c>
      <c r="J3">
        <v>3038.9484606000415</v>
      </c>
      <c r="K3">
        <v>2919.9898597511396</v>
      </c>
      <c r="L3">
        <v>2743.7135662641017</v>
      </c>
      <c r="M3">
        <v>3102.957372720035</v>
      </c>
      <c r="N3">
        <v>3026.5538377604239</v>
      </c>
      <c r="O3">
        <v>3040.8180831234076</v>
      </c>
      <c r="P3">
        <v>3567.6370919734081</v>
      </c>
      <c r="Q3">
        <v>3265.2304613917404</v>
      </c>
      <c r="R3">
        <v>3441.7192507292184</v>
      </c>
      <c r="S3">
        <v>3309.4618462830613</v>
      </c>
      <c r="T3">
        <v>2649.2416571345448</v>
      </c>
      <c r="U3">
        <v>2607.6396841061746</v>
      </c>
      <c r="V3">
        <v>3064.9202498705504</v>
      </c>
      <c r="W3">
        <v>2726.1642357368873</v>
      </c>
      <c r="X3">
        <v>3146.2927388588187</v>
      </c>
      <c r="Y3">
        <v>3515.4962849329268</v>
      </c>
      <c r="Z3">
        <v>2904.1945141665333</v>
      </c>
      <c r="AA3">
        <v>2705.5469052514409</v>
      </c>
      <c r="AB3">
        <v>2537.467016997778</v>
      </c>
      <c r="AC3">
        <v>2396.0584109246724</v>
      </c>
      <c r="AD3">
        <v>2354.9314604990909</v>
      </c>
      <c r="AE3">
        <v>2185.5171388907747</v>
      </c>
      <c r="AF3">
        <v>3291.1260989617413</v>
      </c>
      <c r="AG3">
        <v>2646.3756681117311</v>
      </c>
    </row>
    <row r="4" spans="1:33" x14ac:dyDescent="0.25">
      <c r="A4" t="s">
        <v>2</v>
      </c>
      <c r="B4">
        <v>3359.8039413437346</v>
      </c>
      <c r="C4">
        <v>3302.1639782899847</v>
      </c>
      <c r="D4">
        <v>3143.3033929559133</v>
      </c>
      <c r="E4">
        <v>3367.2621909545378</v>
      </c>
      <c r="F4">
        <v>2777.0789840025841</v>
      </c>
      <c r="G4">
        <v>2829.497639039254</v>
      </c>
      <c r="H4">
        <v>3132.4881893164647</v>
      </c>
      <c r="I4">
        <v>3157.5846577282409</v>
      </c>
      <c r="J4">
        <v>3086.5263501801955</v>
      </c>
      <c r="K4">
        <v>3314.8215752297574</v>
      </c>
      <c r="L4">
        <v>3160.9736015209114</v>
      </c>
      <c r="M4">
        <v>3160.7319905308423</v>
      </c>
      <c r="N4">
        <v>2948.0857558294097</v>
      </c>
      <c r="O4">
        <v>2894.0176579321742</v>
      </c>
      <c r="P4">
        <v>3260.0291770579311</v>
      </c>
      <c r="Q4">
        <v>3194.4146679046635</v>
      </c>
      <c r="R4">
        <v>3326.9329109762002</v>
      </c>
      <c r="S4">
        <v>3487.7044739486619</v>
      </c>
      <c r="T4">
        <v>3569.3966368054748</v>
      </c>
      <c r="U4">
        <v>3215.8140375767111</v>
      </c>
      <c r="V4">
        <v>2768.5908055291302</v>
      </c>
      <c r="W4">
        <v>2756.814771826891</v>
      </c>
      <c r="X4">
        <v>3368.6652848280801</v>
      </c>
      <c r="Y4">
        <v>3386.0551726725562</v>
      </c>
      <c r="Z4">
        <v>3153.4846977042153</v>
      </c>
      <c r="AA4">
        <v>3292.4567614120338</v>
      </c>
      <c r="AB4">
        <v>2998.5078999293119</v>
      </c>
      <c r="AC4">
        <v>3098.0425607494353</v>
      </c>
      <c r="AD4">
        <v>2993.8335570089325</v>
      </c>
      <c r="AE4">
        <v>3163.509111900602</v>
      </c>
      <c r="AF4">
        <v>3418.8158341897306</v>
      </c>
      <c r="AG4">
        <v>3305.7286931236376</v>
      </c>
    </row>
    <row r="5" spans="1:33" x14ac:dyDescent="0.25">
      <c r="A5" t="s">
        <v>3</v>
      </c>
      <c r="B5">
        <v>3325.3372241010729</v>
      </c>
      <c r="C5">
        <v>3324.3478114979189</v>
      </c>
      <c r="D5">
        <v>3209.5419191162127</v>
      </c>
      <c r="E5">
        <v>2926.2832123972294</v>
      </c>
      <c r="F5">
        <v>1753.2996415844395</v>
      </c>
      <c r="G5">
        <v>2337.7855133729631</v>
      </c>
      <c r="H5">
        <v>2962.755129106019</v>
      </c>
      <c r="I5">
        <v>2679.1295438700163</v>
      </c>
      <c r="J5">
        <v>3212.5694687497412</v>
      </c>
      <c r="K5">
        <v>3224.9345542784458</v>
      </c>
      <c r="L5">
        <v>2601.8668353297335</v>
      </c>
      <c r="M5">
        <v>3120.7497095674453</v>
      </c>
      <c r="N5">
        <v>2808.3576186304781</v>
      </c>
      <c r="O5">
        <v>2814.7499626712779</v>
      </c>
      <c r="P5">
        <v>3300.0065525117834</v>
      </c>
      <c r="Q5">
        <v>2931.3354751751713</v>
      </c>
      <c r="R5">
        <v>3074.1746557146994</v>
      </c>
      <c r="S5">
        <v>2936.4409126756491</v>
      </c>
      <c r="T5">
        <v>3307.3967209549619</v>
      </c>
      <c r="U5">
        <v>2408.0780934867535</v>
      </c>
      <c r="V5">
        <v>2554.4165327286864</v>
      </c>
      <c r="W5">
        <v>2606.4478765092435</v>
      </c>
      <c r="X5">
        <v>2924.2350526757114</v>
      </c>
      <c r="Y5">
        <v>2347.176871898605</v>
      </c>
      <c r="Z5">
        <v>2899.3567696955338</v>
      </c>
      <c r="AA5">
        <v>2997.353029502402</v>
      </c>
      <c r="AB5">
        <v>2450.8766176310519</v>
      </c>
      <c r="AC5">
        <v>2870.0162498784866</v>
      </c>
      <c r="AD5">
        <v>2574.8549938438937</v>
      </c>
      <c r="AE5">
        <v>2158.1263409833614</v>
      </c>
      <c r="AF5">
        <v>2924.0401528268835</v>
      </c>
      <c r="AG5">
        <v>2900.8472698905362</v>
      </c>
    </row>
    <row r="6" spans="1:33" x14ac:dyDescent="0.25">
      <c r="A6" t="s">
        <v>4</v>
      </c>
      <c r="B6">
        <v>3668.6931590870927</v>
      </c>
      <c r="C6">
        <v>3493.9542121266823</v>
      </c>
      <c r="D6">
        <v>3389.7614347872113</v>
      </c>
      <c r="E6">
        <v>3546.0308363163103</v>
      </c>
      <c r="F6">
        <v>2835.5303255924782</v>
      </c>
      <c r="G6">
        <v>2938.749795518987</v>
      </c>
      <c r="H6">
        <v>3592.9330566600402</v>
      </c>
      <c r="I6">
        <v>3265.846988752809</v>
      </c>
      <c r="J6">
        <v>3468.3332119812385</v>
      </c>
      <c r="K6">
        <v>3362.1472706452287</v>
      </c>
      <c r="L6">
        <v>3297.7158657044538</v>
      </c>
      <c r="M6">
        <v>2919.3448802671455</v>
      </c>
      <c r="N6">
        <v>3291.4178734182824</v>
      </c>
      <c r="O6">
        <v>3223.2652916690226</v>
      </c>
      <c r="P6">
        <v>3281.2027400899224</v>
      </c>
      <c r="Q6">
        <v>3252.8195174995953</v>
      </c>
      <c r="R6">
        <v>3275.1848365822498</v>
      </c>
      <c r="S6">
        <v>3325.385572077148</v>
      </c>
      <c r="T6">
        <v>3621.7960680214546</v>
      </c>
      <c r="U6">
        <v>3211.7917300939771</v>
      </c>
      <c r="V6">
        <v>2655.5079019318018</v>
      </c>
      <c r="W6">
        <v>2780.5723104141252</v>
      </c>
      <c r="X6">
        <v>3173.5308989863888</v>
      </c>
      <c r="Y6">
        <v>3105.866949437931</v>
      </c>
      <c r="Z6">
        <v>3357.6945349087819</v>
      </c>
      <c r="AA6">
        <v>3389.2210431822932</v>
      </c>
      <c r="AB6">
        <v>3333.2424559348278</v>
      </c>
      <c r="AC6">
        <v>3268.1858373843702</v>
      </c>
      <c r="AD6">
        <v>3173.90980460434</v>
      </c>
      <c r="AE6">
        <v>2455.314998681099</v>
      </c>
      <c r="AF6">
        <v>3417.9898275526502</v>
      </c>
      <c r="AG6">
        <v>3217.212188841987</v>
      </c>
    </row>
    <row r="7" spans="1:33" x14ac:dyDescent="0.25">
      <c r="A7" t="s">
        <v>5</v>
      </c>
      <c r="B7">
        <v>3945.2035753558398</v>
      </c>
      <c r="C7">
        <v>3773.3725797197912</v>
      </c>
      <c r="D7">
        <v>3896.1182931784388</v>
      </c>
      <c r="E7">
        <v>2929.2212497778419</v>
      </c>
      <c r="F7">
        <v>2681.0320362847615</v>
      </c>
      <c r="G7">
        <v>3055.2024806871182</v>
      </c>
      <c r="H7">
        <v>3749.7685535264495</v>
      </c>
      <c r="I7">
        <v>3257.9532507508493</v>
      </c>
      <c r="J7">
        <v>3650.5056794738521</v>
      </c>
      <c r="K7">
        <v>3678.1358252277496</v>
      </c>
      <c r="L7">
        <v>2918.7631240140549</v>
      </c>
      <c r="M7">
        <v>3254.9474341929913</v>
      </c>
      <c r="N7">
        <v>3481.5497093607692</v>
      </c>
      <c r="O7">
        <v>3355.7483356155599</v>
      </c>
      <c r="P7">
        <v>3675.9279875639122</v>
      </c>
      <c r="Q7">
        <v>3622.2486077794729</v>
      </c>
      <c r="R7">
        <v>3682.7330926578893</v>
      </c>
      <c r="S7">
        <v>3694.1700228847903</v>
      </c>
      <c r="T7">
        <v>3426.8254532504138</v>
      </c>
      <c r="U7">
        <v>3601.7479522313397</v>
      </c>
      <c r="V7">
        <v>3160.08397082286</v>
      </c>
      <c r="W7">
        <v>2782.6195057388227</v>
      </c>
      <c r="X7">
        <v>3208.7214649599928</v>
      </c>
      <c r="Y7">
        <v>3310.0680758983849</v>
      </c>
      <c r="Z7">
        <v>3618.5192369863025</v>
      </c>
      <c r="AA7">
        <v>3644.2950513156866</v>
      </c>
      <c r="AB7">
        <v>3133.9949240902888</v>
      </c>
      <c r="AC7">
        <v>3643.8603582867763</v>
      </c>
      <c r="AD7">
        <v>3701.1909846155972</v>
      </c>
      <c r="AE7">
        <v>3686.4090298123274</v>
      </c>
      <c r="AF7">
        <v>4051.2830465728503</v>
      </c>
      <c r="AG7">
        <v>3662.695063043042</v>
      </c>
    </row>
    <row r="8" spans="1:33" x14ac:dyDescent="0.25">
      <c r="A8" t="s">
        <v>6</v>
      </c>
      <c r="B8">
        <v>3355.2277000807862</v>
      </c>
      <c r="C8">
        <v>3352.0088949961614</v>
      </c>
      <c r="D8">
        <v>3075.5100670684451</v>
      </c>
      <c r="E8">
        <v>2978.6852786931236</v>
      </c>
      <c r="F8">
        <v>2852.7120433949549</v>
      </c>
      <c r="G8">
        <v>2149.1233176698261</v>
      </c>
      <c r="H8">
        <v>3269.2251319492948</v>
      </c>
      <c r="I8">
        <v>3162.8606110323899</v>
      </c>
      <c r="J8">
        <v>3439.0081447549987</v>
      </c>
      <c r="K8">
        <v>3452.051447185539</v>
      </c>
      <c r="L8">
        <v>3226.7926990849496</v>
      </c>
      <c r="M8">
        <v>3204.3251949031546</v>
      </c>
      <c r="N8">
        <v>2794.1179276811808</v>
      </c>
      <c r="O8">
        <v>2226.9232125102531</v>
      </c>
      <c r="P8">
        <v>3315.0991031545382</v>
      </c>
      <c r="Q8">
        <v>3238.6930077957454</v>
      </c>
      <c r="R8">
        <v>3257.8868418061429</v>
      </c>
      <c r="S8">
        <v>3483.3251453287176</v>
      </c>
      <c r="T8">
        <v>2776.8977969103094</v>
      </c>
      <c r="U8">
        <v>2537.7303967118451</v>
      </c>
      <c r="V8">
        <v>2305.0942581001782</v>
      </c>
      <c r="W8">
        <v>1934.1557044585477</v>
      </c>
      <c r="X8">
        <v>2366.3931869553371</v>
      </c>
      <c r="Y8">
        <v>2236.9194951357376</v>
      </c>
      <c r="Z8">
        <v>2603.2302019808872</v>
      </c>
      <c r="AA8">
        <v>3181.8809932475142</v>
      </c>
      <c r="AB8">
        <v>3357.8892502261515</v>
      </c>
      <c r="AC8">
        <v>2966.4774668089531</v>
      </c>
      <c r="AD8">
        <v>3106.7812842680532</v>
      </c>
      <c r="AE8">
        <v>3189.5213945864516</v>
      </c>
      <c r="AF8">
        <v>2779.5001731418934</v>
      </c>
      <c r="AG8">
        <v>2768.2895994141609</v>
      </c>
    </row>
    <row r="9" spans="1:33" x14ac:dyDescent="0.25">
      <c r="A9" t="s">
        <v>7</v>
      </c>
      <c r="B9">
        <v>3735.5622592564614</v>
      </c>
      <c r="C9">
        <v>3790.8220021841385</v>
      </c>
      <c r="D9">
        <v>3552.8342827145261</v>
      </c>
      <c r="E9">
        <v>3454.8923628225689</v>
      </c>
      <c r="F9">
        <v>2747.3456006250262</v>
      </c>
      <c r="G9">
        <v>2778.5236907344106</v>
      </c>
      <c r="H9">
        <v>3382.5228562414086</v>
      </c>
      <c r="I9">
        <v>3499.1797870331056</v>
      </c>
      <c r="J9">
        <v>3761.7155981528422</v>
      </c>
      <c r="K9">
        <v>3786.5146909246832</v>
      </c>
      <c r="L9">
        <v>3607.0596227687229</v>
      </c>
      <c r="M9">
        <v>3475.568665786559</v>
      </c>
      <c r="N9">
        <v>3376.7850705252195</v>
      </c>
      <c r="O9">
        <v>3043.4770583777236</v>
      </c>
      <c r="P9">
        <v>3377.8280515380011</v>
      </c>
      <c r="Q9">
        <v>3447.0587790435043</v>
      </c>
      <c r="R9">
        <v>3615.0160446013533</v>
      </c>
      <c r="S9">
        <v>3804.4920870841183</v>
      </c>
      <c r="T9">
        <v>3232.4608571652579</v>
      </c>
      <c r="U9">
        <v>3260.2645333522182</v>
      </c>
      <c r="V9">
        <v>2671.5022675750961</v>
      </c>
      <c r="W9">
        <v>2847.1115971610034</v>
      </c>
      <c r="X9">
        <v>3211.8415583793931</v>
      </c>
      <c r="Y9">
        <v>3303.2328110957656</v>
      </c>
      <c r="Z9">
        <v>3583.5432764834841</v>
      </c>
      <c r="AA9">
        <v>3548.852363717916</v>
      </c>
      <c r="AB9">
        <v>3419.902284011534</v>
      </c>
      <c r="AC9">
        <v>3466.3296827938088</v>
      </c>
      <c r="AD9">
        <v>3300.7043816781629</v>
      </c>
      <c r="AE9">
        <v>3313.430606393084</v>
      </c>
      <c r="AF9">
        <v>3666.3590639984682</v>
      </c>
      <c r="AG9">
        <v>3405.8004565582514</v>
      </c>
    </row>
    <row r="10" spans="1:33" x14ac:dyDescent="0.25">
      <c r="A10" t="s">
        <v>8</v>
      </c>
      <c r="B10">
        <v>2876.4047305204576</v>
      </c>
      <c r="C10">
        <v>3011.0563707286697</v>
      </c>
      <c r="D10">
        <v>2608.2117956636407</v>
      </c>
      <c r="E10">
        <v>2951.5112498273475</v>
      </c>
      <c r="F10">
        <v>2092.8225554116543</v>
      </c>
      <c r="G10">
        <v>2166.9541051218039</v>
      </c>
      <c r="H10">
        <v>2876.2465633105276</v>
      </c>
      <c r="I10">
        <v>2876.7290534954645</v>
      </c>
      <c r="J10">
        <v>2967.0195950699795</v>
      </c>
      <c r="K10">
        <v>3037.191291995855</v>
      </c>
      <c r="L10">
        <v>2705.7680032812518</v>
      </c>
      <c r="M10">
        <v>2760.1974662893417</v>
      </c>
      <c r="N10">
        <v>2316.6608283600276</v>
      </c>
      <c r="O10">
        <v>2269.9073992875524</v>
      </c>
      <c r="P10">
        <v>2774.9832908964181</v>
      </c>
      <c r="Q10">
        <v>2839.9903096217404</v>
      </c>
      <c r="R10">
        <v>2945.5894394357206</v>
      </c>
      <c r="S10">
        <v>3022.0441106743815</v>
      </c>
      <c r="T10">
        <v>2707.1204070696017</v>
      </c>
      <c r="U10">
        <v>2749.0205280208611</v>
      </c>
      <c r="V10">
        <v>1616.5499884855699</v>
      </c>
      <c r="W10">
        <v>2183.021213836947</v>
      </c>
      <c r="X10">
        <v>2667.4842074218832</v>
      </c>
      <c r="Y10">
        <v>2592.5231964695854</v>
      </c>
      <c r="Z10">
        <v>2420.0494498943681</v>
      </c>
      <c r="AA10">
        <v>2540.6386586193821</v>
      </c>
      <c r="AB10">
        <v>2670.2400064524372</v>
      </c>
      <c r="AC10">
        <v>2638.6047116775308</v>
      </c>
      <c r="AD10">
        <v>2665.3037006038544</v>
      </c>
      <c r="AE10">
        <v>2765.2823887628319</v>
      </c>
      <c r="AF10">
        <v>2386.5482251958156</v>
      </c>
      <c r="AG10">
        <v>2852.1602851785065</v>
      </c>
    </row>
    <row r="11" spans="1:33" x14ac:dyDescent="0.25">
      <c r="A11" t="s">
        <v>9</v>
      </c>
      <c r="B11">
        <v>3139.3398109356917</v>
      </c>
      <c r="C11">
        <v>2956.2267695572277</v>
      </c>
      <c r="D11">
        <v>3134.6908911745131</v>
      </c>
      <c r="E11">
        <v>2902.6817649140175</v>
      </c>
      <c r="F11">
        <v>2002.0971302384196</v>
      </c>
      <c r="G11">
        <v>1773.8195380943289</v>
      </c>
      <c r="H11">
        <v>3162.5287525138565</v>
      </c>
      <c r="I11">
        <v>3209.2589531563467</v>
      </c>
      <c r="J11">
        <v>3415.9231883434841</v>
      </c>
      <c r="K11">
        <v>3309.7931439838958</v>
      </c>
      <c r="L11">
        <v>3384.0657051363914</v>
      </c>
      <c r="M11">
        <v>2824.5115558059106</v>
      </c>
      <c r="N11">
        <v>3271.5016533877042</v>
      </c>
      <c r="O11">
        <v>3118.1791366449793</v>
      </c>
      <c r="P11">
        <v>2682.8327745275965</v>
      </c>
      <c r="Q11">
        <v>2481.7269459535364</v>
      </c>
      <c r="R11">
        <v>3237.4898328243771</v>
      </c>
      <c r="S11">
        <v>3206.9528240127593</v>
      </c>
      <c r="T11">
        <v>3239.0771269197603</v>
      </c>
      <c r="U11">
        <v>3133.6489561021208</v>
      </c>
      <c r="V11">
        <v>2350.9159227478367</v>
      </c>
      <c r="W11">
        <v>2196.0142221762999</v>
      </c>
      <c r="X11">
        <v>3332.2436324366554</v>
      </c>
      <c r="Y11">
        <v>3284.3693831291216</v>
      </c>
      <c r="Z11">
        <v>3314.9885514823368</v>
      </c>
      <c r="AA11">
        <v>3517.4997478331106</v>
      </c>
      <c r="AB11">
        <v>3091.4888138565234</v>
      </c>
      <c r="AC11">
        <v>3037.7000359802596</v>
      </c>
      <c r="AD11">
        <v>2193.0607908668494</v>
      </c>
      <c r="AE11">
        <v>2614.150036689176</v>
      </c>
      <c r="AF11">
        <v>3132.82424078246</v>
      </c>
      <c r="AG11">
        <v>2872.3552133464545</v>
      </c>
    </row>
    <row r="12" spans="1:33" x14ac:dyDescent="0.25">
      <c r="A12" t="s">
        <v>10</v>
      </c>
      <c r="B12">
        <v>3358.5725553088969</v>
      </c>
      <c r="C12">
        <v>2565.2608661435243</v>
      </c>
      <c r="D12">
        <v>3149.6336386320891</v>
      </c>
      <c r="E12">
        <v>2876.7531009318163</v>
      </c>
      <c r="F12">
        <v>2520.6012661100567</v>
      </c>
      <c r="G12">
        <v>1978.812620055704</v>
      </c>
      <c r="H12">
        <v>2893.0201654178018</v>
      </c>
      <c r="I12">
        <v>3218.1986192169893</v>
      </c>
      <c r="J12">
        <v>2994.1459564219549</v>
      </c>
      <c r="K12">
        <v>2878.3247308782547</v>
      </c>
      <c r="L12">
        <v>2951.0398753549443</v>
      </c>
      <c r="M12">
        <v>2851.4842244203633</v>
      </c>
      <c r="N12">
        <v>2516.6208637672476</v>
      </c>
      <c r="O12">
        <v>2755.3933459117584</v>
      </c>
      <c r="P12">
        <v>2478.1039651177425</v>
      </c>
      <c r="Q12">
        <v>3176.2270752224813</v>
      </c>
      <c r="R12">
        <v>2478.0185834413473</v>
      </c>
      <c r="S12">
        <v>2923.2006088041444</v>
      </c>
      <c r="T12">
        <v>2312.6022458661296</v>
      </c>
      <c r="U12">
        <v>2619.3988358814404</v>
      </c>
      <c r="V12">
        <v>2411.6244434717719</v>
      </c>
      <c r="W12">
        <v>2774.8449973166807</v>
      </c>
      <c r="X12">
        <v>2394.6139682750245</v>
      </c>
      <c r="Y12">
        <v>2522.2891234587046</v>
      </c>
      <c r="Z12">
        <v>3070.0178484618837</v>
      </c>
      <c r="AA12">
        <v>3003.0485810885971</v>
      </c>
      <c r="AB12">
        <v>2882.0452665878688</v>
      </c>
      <c r="AC12">
        <v>2795.2861676307634</v>
      </c>
      <c r="AD12">
        <v>2167.6826587666578</v>
      </c>
      <c r="AE12">
        <v>2437.5199556023972</v>
      </c>
      <c r="AF12">
        <v>3008.4039360079232</v>
      </c>
      <c r="AG12">
        <v>2968.9729031787047</v>
      </c>
    </row>
    <row r="13" spans="1:33" x14ac:dyDescent="0.25">
      <c r="A13" t="s">
        <v>11</v>
      </c>
      <c r="B13">
        <v>2662.664647392081</v>
      </c>
      <c r="C13">
        <v>2837.2827251370868</v>
      </c>
      <c r="D13">
        <v>2475.8179937905807</v>
      </c>
      <c r="E13">
        <v>2820.0762033073793</v>
      </c>
      <c r="F13">
        <v>1743.6144544040637</v>
      </c>
      <c r="G13">
        <v>2184.5410112618197</v>
      </c>
      <c r="H13">
        <v>2661.6151720974549</v>
      </c>
      <c r="I13">
        <v>2558.9397360028438</v>
      </c>
      <c r="J13">
        <v>2793.4892520338581</v>
      </c>
      <c r="K13">
        <v>2341.563385079548</v>
      </c>
      <c r="L13">
        <v>2031.3797227777318</v>
      </c>
      <c r="M13">
        <v>2290.2305569887949</v>
      </c>
      <c r="N13">
        <v>1926.0833219890728</v>
      </c>
      <c r="O13">
        <v>2296.0942374199408</v>
      </c>
      <c r="P13">
        <v>2588.6590153139646</v>
      </c>
      <c r="Q13">
        <v>1894.194222190815</v>
      </c>
      <c r="R13">
        <v>2745.5568563342817</v>
      </c>
      <c r="S13">
        <v>2711.4281925459418</v>
      </c>
      <c r="T13">
        <v>2390.2846292155727</v>
      </c>
      <c r="U13">
        <v>2324.3092475584435</v>
      </c>
      <c r="V13">
        <v>2303.8007467909947</v>
      </c>
      <c r="W13">
        <v>2116.6506593103709</v>
      </c>
      <c r="X13">
        <v>2417.9221928442039</v>
      </c>
      <c r="Y13">
        <v>2534.731175290387</v>
      </c>
      <c r="Z13">
        <v>2514.848014337842</v>
      </c>
      <c r="AA13">
        <v>2394.5087008079054</v>
      </c>
      <c r="AB13">
        <v>2285.8129811158633</v>
      </c>
      <c r="AC13">
        <v>2399.8265635988364</v>
      </c>
      <c r="AD13">
        <v>2096.3936168511987</v>
      </c>
      <c r="AE13">
        <v>2053.7337868823897</v>
      </c>
      <c r="AF13">
        <v>2611.9084602379157</v>
      </c>
      <c r="AG13">
        <v>2248.1943711656631</v>
      </c>
    </row>
    <row r="14" spans="1:33" x14ac:dyDescent="0.25">
      <c r="A14" t="s">
        <v>12</v>
      </c>
      <c r="B14">
        <v>3170.9667154473491</v>
      </c>
      <c r="C14">
        <v>3166.7704969878077</v>
      </c>
      <c r="D14">
        <v>3036.4693304894445</v>
      </c>
      <c r="E14">
        <v>2322.2993390222823</v>
      </c>
      <c r="F14">
        <v>1699.8336291069438</v>
      </c>
      <c r="G14">
        <v>2083.9135479400647</v>
      </c>
      <c r="H14">
        <v>3085.733172251631</v>
      </c>
      <c r="I14">
        <v>2916.9745331814011</v>
      </c>
      <c r="J14">
        <v>3182.7953635473054</v>
      </c>
      <c r="K14">
        <v>3187.723926455832</v>
      </c>
      <c r="L14">
        <v>2511.4116781307293</v>
      </c>
      <c r="M14">
        <v>2702.5269790462366</v>
      </c>
      <c r="N14">
        <v>2752.1945151600162</v>
      </c>
      <c r="O14">
        <v>2757.4843007302215</v>
      </c>
      <c r="P14">
        <v>3111.1503368830527</v>
      </c>
      <c r="Q14">
        <v>2907.2030574358982</v>
      </c>
      <c r="R14">
        <v>2823.6961279360967</v>
      </c>
      <c r="S14">
        <v>2716.0296140474957</v>
      </c>
      <c r="T14">
        <v>2711.7963515439678</v>
      </c>
      <c r="U14">
        <v>2401.3472875664493</v>
      </c>
      <c r="V14">
        <v>2372.6100968436931</v>
      </c>
      <c r="W14">
        <v>2026.1247315719861</v>
      </c>
      <c r="X14">
        <v>2535.8248029962106</v>
      </c>
      <c r="Y14">
        <v>2533.5271217531281</v>
      </c>
      <c r="Z14">
        <v>2663.5317315463581</v>
      </c>
      <c r="AA14">
        <v>2969.3792055963886</v>
      </c>
      <c r="AB14">
        <v>1959.5306093536915</v>
      </c>
      <c r="AC14">
        <v>2618.5570306448262</v>
      </c>
      <c r="AD14">
        <v>2478.5215931358475</v>
      </c>
      <c r="AE14">
        <v>2496.9681412292107</v>
      </c>
      <c r="AF14">
        <v>3072.1879854531826</v>
      </c>
      <c r="AG14">
        <v>2801.3013065524701</v>
      </c>
    </row>
    <row r="15" spans="1:33" x14ac:dyDescent="0.25">
      <c r="A15" t="s">
        <v>13</v>
      </c>
      <c r="B15">
        <v>3282.2409774750877</v>
      </c>
      <c r="C15">
        <v>3521.0250858654217</v>
      </c>
      <c r="D15">
        <v>3452.5191937419327</v>
      </c>
      <c r="E15">
        <v>3035.15514911835</v>
      </c>
      <c r="F15">
        <v>2438.2260567553217</v>
      </c>
      <c r="G15">
        <v>1888.1788021114799</v>
      </c>
      <c r="H15">
        <v>3509.9374363200077</v>
      </c>
      <c r="I15">
        <v>2974.8877183771315</v>
      </c>
      <c r="J15">
        <v>3527.2763199468454</v>
      </c>
      <c r="K15">
        <v>3527.5134176876709</v>
      </c>
      <c r="L15">
        <v>3709.4012880448954</v>
      </c>
      <c r="M15">
        <v>3131.1587117828503</v>
      </c>
      <c r="N15">
        <v>3086.322327062393</v>
      </c>
      <c r="O15">
        <v>3240.4220082931324</v>
      </c>
      <c r="P15">
        <v>3425.7558219528596</v>
      </c>
      <c r="Q15">
        <v>2871.0105357489174</v>
      </c>
      <c r="R15">
        <v>3459.6659228942672</v>
      </c>
      <c r="S15">
        <v>3342.2285189289328</v>
      </c>
      <c r="T15">
        <v>2928.9111414673907</v>
      </c>
      <c r="U15">
        <v>2895.5442893842251</v>
      </c>
      <c r="V15">
        <v>2669.8729384932894</v>
      </c>
      <c r="W15">
        <v>2250.3818193816796</v>
      </c>
      <c r="X15">
        <v>3156.6908809945162</v>
      </c>
      <c r="Y15">
        <v>3403.1074772071734</v>
      </c>
      <c r="Z15">
        <v>3150.9800428093736</v>
      </c>
      <c r="AA15">
        <v>3330.6293400800869</v>
      </c>
      <c r="AB15">
        <v>3602.1938912227197</v>
      </c>
      <c r="AC15">
        <v>3243.856176516379</v>
      </c>
      <c r="AD15">
        <v>3148.3931718771491</v>
      </c>
      <c r="AE15">
        <v>3283.4999744447932</v>
      </c>
      <c r="AF15">
        <v>3422.5438085961659</v>
      </c>
      <c r="AG15">
        <v>3442.5683273206732</v>
      </c>
    </row>
    <row r="16" spans="1:33" x14ac:dyDescent="0.25">
      <c r="A16" t="s">
        <v>14</v>
      </c>
      <c r="B16">
        <v>2904.4647138506002</v>
      </c>
      <c r="C16">
        <v>3005.4341668870143</v>
      </c>
      <c r="D16">
        <v>3402.7383992737978</v>
      </c>
      <c r="E16">
        <v>3560.9501221313221</v>
      </c>
      <c r="F16">
        <v>2859.3522606730548</v>
      </c>
      <c r="G16">
        <v>2349.8520331532254</v>
      </c>
      <c r="H16">
        <v>3214.8179072531284</v>
      </c>
      <c r="I16">
        <v>2523.0980182901144</v>
      </c>
      <c r="J16">
        <v>3576.8952001453908</v>
      </c>
      <c r="K16">
        <v>3304.1119832169406</v>
      </c>
      <c r="L16">
        <v>3179.0962700435484</v>
      </c>
      <c r="M16">
        <v>3151.3751220475333</v>
      </c>
      <c r="N16">
        <v>2844.6849508933283</v>
      </c>
      <c r="O16">
        <v>3210.4130249365426</v>
      </c>
      <c r="P16">
        <v>3300.8661436768671</v>
      </c>
      <c r="Q16">
        <v>3426.9287097447186</v>
      </c>
      <c r="R16">
        <v>3501.9310178931646</v>
      </c>
      <c r="S16">
        <v>3681.3992989156968</v>
      </c>
      <c r="T16">
        <v>3612.1088281593838</v>
      </c>
      <c r="U16">
        <v>3699.610521792958</v>
      </c>
      <c r="V16">
        <v>3206.9494512298224</v>
      </c>
      <c r="W16">
        <v>2975.2347629552214</v>
      </c>
      <c r="X16">
        <v>3550.3768192315442</v>
      </c>
      <c r="Y16">
        <v>3741.03543173138</v>
      </c>
      <c r="Z16">
        <v>3839.8076862934477</v>
      </c>
      <c r="AA16">
        <v>3580.6087998258581</v>
      </c>
      <c r="AB16">
        <v>3122.7046610024145</v>
      </c>
      <c r="AC16">
        <v>3081.2117123999278</v>
      </c>
      <c r="AD16">
        <v>3703.86227628089</v>
      </c>
      <c r="AE16">
        <v>3498.6929845499599</v>
      </c>
      <c r="AF16">
        <v>3788.3484819639575</v>
      </c>
      <c r="AG16">
        <v>3249.9967345373116</v>
      </c>
    </row>
    <row r="17" spans="1:33" x14ac:dyDescent="0.25">
      <c r="A17" t="s">
        <v>15</v>
      </c>
      <c r="B17">
        <v>3479.0768062298243</v>
      </c>
      <c r="C17">
        <v>2996.9369729030523</v>
      </c>
      <c r="D17">
        <v>3764.0570530497739</v>
      </c>
      <c r="E17">
        <v>3034.3002481550379</v>
      </c>
      <c r="F17">
        <v>2306.3029424664073</v>
      </c>
      <c r="G17">
        <v>2428.2788661901027</v>
      </c>
      <c r="H17">
        <v>3644.889226908806</v>
      </c>
      <c r="I17">
        <v>3618.9543562289391</v>
      </c>
      <c r="J17">
        <v>3491.2994159183932</v>
      </c>
      <c r="K17">
        <v>3421.2827416619598</v>
      </c>
      <c r="L17">
        <v>3163.5114110615741</v>
      </c>
      <c r="M17">
        <v>3310.7844337348079</v>
      </c>
      <c r="N17">
        <v>2588.2240281699242</v>
      </c>
      <c r="O17">
        <v>2741.7669852648582</v>
      </c>
      <c r="P17">
        <v>3248.6132835135477</v>
      </c>
      <c r="Q17">
        <v>2910.8104912521221</v>
      </c>
      <c r="R17">
        <v>3202.7733019499951</v>
      </c>
      <c r="S17">
        <v>2953.6147065427849</v>
      </c>
      <c r="T17">
        <v>3060.671525483076</v>
      </c>
      <c r="U17">
        <v>2584.6057611507667</v>
      </c>
      <c r="V17">
        <v>2019.9990415859015</v>
      </c>
      <c r="W17">
        <v>2520.2407834734095</v>
      </c>
      <c r="X17">
        <v>2986.6767044017779</v>
      </c>
      <c r="Y17">
        <v>3041.8098092666341</v>
      </c>
      <c r="Z17">
        <v>3419.5319436852751</v>
      </c>
      <c r="AA17">
        <v>3376.1197217764325</v>
      </c>
      <c r="AB17">
        <v>3146.3177410770436</v>
      </c>
      <c r="AC17">
        <v>2972.2311445766945</v>
      </c>
      <c r="AD17">
        <v>2149.049374625426</v>
      </c>
      <c r="AE17">
        <v>2797.2279540348668</v>
      </c>
      <c r="AF17">
        <v>3364.3994319737126</v>
      </c>
      <c r="AG17">
        <v>2994.9511154749625</v>
      </c>
    </row>
    <row r="18" spans="1:33" x14ac:dyDescent="0.25">
      <c r="A18" t="s">
        <v>16</v>
      </c>
      <c r="B18">
        <v>3302.9492044562689</v>
      </c>
      <c r="C18">
        <v>3231.3771374671137</v>
      </c>
      <c r="D18">
        <v>3171.5077975281738</v>
      </c>
      <c r="E18">
        <v>3074.9775145060867</v>
      </c>
      <c r="F18">
        <v>2367.6983404178709</v>
      </c>
      <c r="G18">
        <v>2383.5545720420946</v>
      </c>
      <c r="H18">
        <v>3190.150610442256</v>
      </c>
      <c r="I18">
        <v>3054.9933773873754</v>
      </c>
      <c r="J18">
        <v>3307.0967470213418</v>
      </c>
      <c r="K18">
        <v>3249.7399896135003</v>
      </c>
      <c r="L18">
        <v>3012.8372845678664</v>
      </c>
      <c r="M18">
        <v>3017.3929532056004</v>
      </c>
      <c r="N18">
        <v>2868.6106854663658</v>
      </c>
      <c r="O18">
        <v>2865.9106693592271</v>
      </c>
      <c r="P18">
        <v>3159.2463557181027</v>
      </c>
      <c r="Q18">
        <v>3030.6594575840081</v>
      </c>
      <c r="R18">
        <v>3204.5579143851332</v>
      </c>
      <c r="S18">
        <v>3239.8585289836192</v>
      </c>
      <c r="T18">
        <v>3036.4391630644868</v>
      </c>
      <c r="U18">
        <v>2883.3701236677521</v>
      </c>
      <c r="V18">
        <v>2542.1625744138123</v>
      </c>
      <c r="W18">
        <v>2498.4266127912078</v>
      </c>
      <c r="X18">
        <v>2962.7675596163695</v>
      </c>
      <c r="Y18">
        <v>2990.547225291868</v>
      </c>
      <c r="Z18">
        <v>3100.9185666957751</v>
      </c>
      <c r="AA18">
        <v>3164.8025935504702</v>
      </c>
      <c r="AB18">
        <v>2932.8142946326334</v>
      </c>
      <c r="AC18">
        <v>2966.4162739901144</v>
      </c>
      <c r="AD18">
        <v>2787.231576635063</v>
      </c>
      <c r="AE18">
        <v>2806.5935895628891</v>
      </c>
      <c r="AF18">
        <v>3222.4185844970229</v>
      </c>
      <c r="AG18">
        <v>3022.4966130492062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3304.4338680560832</v>
      </c>
      <c r="C20" s="3">
        <f t="shared" ref="C20:AG20" si="0">AVERAGE(C4:C18)</f>
        <v>3221.8693380327727</v>
      </c>
      <c r="D20" s="3">
        <f t="shared" si="0"/>
        <v>3230.8476988776456</v>
      </c>
      <c r="E20" s="3">
        <f t="shared" si="0"/>
        <v>3052.0719881916825</v>
      </c>
      <c r="F20" s="3">
        <f t="shared" si="0"/>
        <v>2378.5031511378688</v>
      </c>
      <c r="G20" s="3">
        <f t="shared" si="0"/>
        <v>2355.119168866212</v>
      </c>
      <c r="H20" s="3">
        <f t="shared" si="0"/>
        <v>3221.9087948876763</v>
      </c>
      <c r="I20" s="3">
        <f t="shared" si="0"/>
        <v>3064.9726136336017</v>
      </c>
      <c r="J20" s="3">
        <f t="shared" si="0"/>
        <v>3324.9732994494279</v>
      </c>
      <c r="K20" s="3">
        <f t="shared" si="0"/>
        <v>3271.7233316043248</v>
      </c>
      <c r="L20" s="3">
        <f t="shared" si="0"/>
        <v>3030.7788657881174</v>
      </c>
      <c r="M20" s="3">
        <f t="shared" si="0"/>
        <v>3011.688658571305</v>
      </c>
      <c r="N20" s="3">
        <f t="shared" si="0"/>
        <v>2858.0811419800953</v>
      </c>
      <c r="O20" s="3">
        <f t="shared" si="0"/>
        <v>2854.2501751082818</v>
      </c>
      <c r="P20" s="3">
        <f t="shared" si="0"/>
        <v>3132.0203066344166</v>
      </c>
      <c r="Q20" s="4">
        <f t="shared" si="0"/>
        <v>3015.0213906634922</v>
      </c>
      <c r="R20" s="2">
        <f t="shared" si="0"/>
        <v>3188.7471586288607</v>
      </c>
      <c r="S20" s="3">
        <f t="shared" si="0"/>
        <v>3235.2183078303233</v>
      </c>
      <c r="T20" s="3">
        <f t="shared" si="0"/>
        <v>3062.2523301264828</v>
      </c>
      <c r="U20" s="3">
        <f t="shared" si="0"/>
        <v>2901.752152971857</v>
      </c>
      <c r="V20" s="3">
        <f t="shared" si="0"/>
        <v>2507.3120627166959</v>
      </c>
      <c r="W20" s="3">
        <f t="shared" si="0"/>
        <v>2483.2441045948285</v>
      </c>
      <c r="X20" s="3">
        <f t="shared" si="0"/>
        <v>2950.5325476668727</v>
      </c>
      <c r="Y20" s="3">
        <f t="shared" si="0"/>
        <v>2955.5506213157978</v>
      </c>
      <c r="Z20" s="3">
        <f t="shared" si="0"/>
        <v>3114.0335035310577</v>
      </c>
      <c r="AA20" s="3">
        <f t="shared" si="0"/>
        <v>3195.419639437072</v>
      </c>
      <c r="AB20" s="3">
        <f t="shared" si="0"/>
        <v>2959.1707798082907</v>
      </c>
      <c r="AC20" s="3">
        <f t="shared" si="0"/>
        <v>3004.4401315278105</v>
      </c>
      <c r="AD20" s="3">
        <f t="shared" si="0"/>
        <v>2816.051584377461</v>
      </c>
      <c r="AE20" s="3">
        <f t="shared" si="0"/>
        <v>2847.9986862743631</v>
      </c>
      <c r="AF20" s="3">
        <f t="shared" si="0"/>
        <v>3217.8380835327084</v>
      </c>
      <c r="AG20" s="3">
        <f t="shared" si="0"/>
        <v>3047.5713427117053</v>
      </c>
    </row>
    <row r="21" spans="1:33" x14ac:dyDescent="0.25">
      <c r="A21" s="2" t="s">
        <v>34</v>
      </c>
      <c r="B21" s="3">
        <f>_xlfn.STDEV.S(B4:B18)</f>
        <v>334.79978635583393</v>
      </c>
      <c r="C21" s="3">
        <f t="shared" ref="C21:AG21" si="1">_xlfn.STDEV.S(C4:C18)</f>
        <v>340.15619659463459</v>
      </c>
      <c r="D21" s="3">
        <f t="shared" si="1"/>
        <v>376.2265515757399</v>
      </c>
      <c r="E21" s="3">
        <f t="shared" si="1"/>
        <v>321.99662823199736</v>
      </c>
      <c r="F21" s="3">
        <f t="shared" si="1"/>
        <v>427.4787852830417</v>
      </c>
      <c r="G21" s="3">
        <f t="shared" si="1"/>
        <v>389.09930332509521</v>
      </c>
      <c r="H21" s="3">
        <f t="shared" si="1"/>
        <v>310.07694398677819</v>
      </c>
      <c r="I21" s="3">
        <f t="shared" si="1"/>
        <v>316.18322635722228</v>
      </c>
      <c r="J21" s="3">
        <f t="shared" si="1"/>
        <v>277.83309162606048</v>
      </c>
      <c r="K21" s="3">
        <f t="shared" si="1"/>
        <v>343.06621348829952</v>
      </c>
      <c r="L21" s="3">
        <f t="shared" si="1"/>
        <v>435.97584920780128</v>
      </c>
      <c r="M21" s="3">
        <f t="shared" si="1"/>
        <v>294.88635066407488</v>
      </c>
      <c r="N21" s="3">
        <f t="shared" si="1"/>
        <v>417.97973597550782</v>
      </c>
      <c r="O21" s="3">
        <f t="shared" si="1"/>
        <v>363.5851876822972</v>
      </c>
      <c r="P21" s="3">
        <f t="shared" si="1"/>
        <v>342.08280704193101</v>
      </c>
      <c r="Q21" s="4">
        <f t="shared" si="1"/>
        <v>423.55292281073207</v>
      </c>
      <c r="R21" s="2">
        <f t="shared" si="1"/>
        <v>331.49504901151522</v>
      </c>
      <c r="S21" s="3">
        <f t="shared" si="1"/>
        <v>352.0120365048864</v>
      </c>
      <c r="T21" s="3">
        <f t="shared" si="1"/>
        <v>421.57898879388006</v>
      </c>
      <c r="U21" s="3">
        <f t="shared" si="1"/>
        <v>436.52185564104661</v>
      </c>
      <c r="V21" s="3">
        <f t="shared" si="1"/>
        <v>398.89584399041917</v>
      </c>
      <c r="W21" s="3">
        <f t="shared" si="1"/>
        <v>338.15054292384667</v>
      </c>
      <c r="X21" s="3">
        <f t="shared" si="1"/>
        <v>386.90248931893092</v>
      </c>
      <c r="Y21" s="3">
        <f t="shared" si="1"/>
        <v>459.02240873131518</v>
      </c>
      <c r="Z21" s="3">
        <f t="shared" si="1"/>
        <v>426.81564040842204</v>
      </c>
      <c r="AA21" s="3">
        <f t="shared" si="1"/>
        <v>365.9691564106954</v>
      </c>
      <c r="AB21" s="3">
        <f t="shared" si="1"/>
        <v>450.17637003587407</v>
      </c>
      <c r="AC21" s="3">
        <f t="shared" si="1"/>
        <v>325.01450309369062</v>
      </c>
      <c r="AD21" s="3">
        <f t="shared" si="1"/>
        <v>543.01859211239935</v>
      </c>
      <c r="AE21" s="3">
        <f t="shared" si="1"/>
        <v>490.43153933636268</v>
      </c>
      <c r="AF21" s="3">
        <f t="shared" si="1"/>
        <v>445.14018362423127</v>
      </c>
      <c r="AG21" s="3">
        <f t="shared" si="1"/>
        <v>346.07672747348357</v>
      </c>
    </row>
    <row r="22" spans="1:33" x14ac:dyDescent="0.25">
      <c r="A22" s="2" t="s">
        <v>35</v>
      </c>
      <c r="B22" s="3">
        <f>AVERAGE(B4:Q18)</f>
        <v>3020.5164869676869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2967.9458148157587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449.98486409815979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454.71858965100739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3060.1933908514166</v>
      </c>
      <c r="C26" s="2">
        <f>AVERAGE(C20,E20,G20,I20,K20,M20,O20,Q20)</f>
        <v>2980.839583083959</v>
      </c>
      <c r="E26" s="2">
        <f>AVERAGE(D20,E20,F20,G20,H20,I20)</f>
        <v>2883.9039025991151</v>
      </c>
      <c r="F26" s="2">
        <f>AVERAGE(L20:Q20)</f>
        <v>2983.6400897909516</v>
      </c>
      <c r="G26" s="2">
        <f>AVERAGE(B20,C20,J20,K20)</f>
        <v>3280.749959285652</v>
      </c>
      <c r="Q26" s="5"/>
      <c r="R26" s="2">
        <f>AVERAGE(R20,T20,V20,X20,Z20,AB20,AD20,AF20)</f>
        <v>2976.9922562985535</v>
      </c>
      <c r="S26" s="2">
        <f>AVERAGE(S20,U20,W20,Y20,AA20,AC20,AE20,AG20)</f>
        <v>2958.8993733329698</v>
      </c>
      <c r="U26" s="2">
        <f>AVERAGE(T20:Y20)</f>
        <v>2810.1073032320892</v>
      </c>
      <c r="V26" s="2">
        <f>AVERAGE(AB20:AG20)</f>
        <v>2982.1784347053895</v>
      </c>
      <c r="W26" s="2">
        <f>AVERAGE(R20:S20,Z20:AA20)</f>
        <v>3183.3546523568284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0.1930205231001362</v>
      </c>
      <c r="C28" s="3">
        <f t="shared" ref="C28:Q28" si="2">_xlfn.T.TEST(C4:C18,S4:S18,2,1)</f>
        <v>0.85853636666134792</v>
      </c>
      <c r="D28" s="3">
        <f t="shared" si="2"/>
        <v>9.7721108093298856E-2</v>
      </c>
      <c r="E28" s="3">
        <f t="shared" si="2"/>
        <v>9.0868199360709501E-2</v>
      </c>
      <c r="F28" s="3">
        <f t="shared" si="2"/>
        <v>0.24578739313430445</v>
      </c>
      <c r="G28" s="3">
        <f t="shared" si="2"/>
        <v>0.13177087356677616</v>
      </c>
      <c r="H28" s="3">
        <f t="shared" si="2"/>
        <v>8.7739534272136873E-3</v>
      </c>
      <c r="I28" s="3">
        <f t="shared" si="2"/>
        <v>0.41917971644504726</v>
      </c>
      <c r="J28" s="3">
        <f t="shared" si="2"/>
        <v>1.1296080450896041E-2</v>
      </c>
      <c r="K28" s="3">
        <f t="shared" si="2"/>
        <v>0.16737208505233941</v>
      </c>
      <c r="L28" s="3">
        <f t="shared" si="2"/>
        <v>0.18514118165888116</v>
      </c>
      <c r="M28" s="3">
        <f t="shared" si="2"/>
        <v>0.89517603258808043</v>
      </c>
      <c r="N28" s="3">
        <f t="shared" si="2"/>
        <v>0.71377256318657456</v>
      </c>
      <c r="O28" s="3">
        <f t="shared" si="2"/>
        <v>0.95916412849034671</v>
      </c>
      <c r="P28" s="3">
        <f t="shared" si="2"/>
        <v>0.32361102964283261</v>
      </c>
      <c r="Q28" s="3">
        <f t="shared" si="2"/>
        <v>0.63062232720234324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1245.5354957540619</v>
      </c>
      <c r="C3">
        <v>1227.4462442528461</v>
      </c>
      <c r="D3">
        <v>1012.9567903781249</v>
      </c>
      <c r="E3">
        <v>1261.3380141907419</v>
      </c>
      <c r="F3">
        <v>931.74915982785933</v>
      </c>
      <c r="G3">
        <v>1133.5495334800141</v>
      </c>
      <c r="H3">
        <v>1037.1971493703277</v>
      </c>
      <c r="I3">
        <v>1160.9431712915389</v>
      </c>
      <c r="J3">
        <v>1269.0624201013229</v>
      </c>
      <c r="K3">
        <v>1076.1867322489038</v>
      </c>
      <c r="L3">
        <v>1190.8406565121722</v>
      </c>
      <c r="M3">
        <v>1113.9864263862555</v>
      </c>
      <c r="N3">
        <v>1131.1473302338279</v>
      </c>
      <c r="O3">
        <v>1059.0974559441834</v>
      </c>
      <c r="P3">
        <v>1173.0370733000798</v>
      </c>
      <c r="Q3">
        <v>1204.5443223882633</v>
      </c>
      <c r="R3">
        <v>1140.1847041325341</v>
      </c>
      <c r="S3">
        <v>1080.5147426079377</v>
      </c>
      <c r="T3">
        <v>1036.6093230103245</v>
      </c>
      <c r="U3">
        <v>991.9982381838862</v>
      </c>
      <c r="V3">
        <v>1073.1280736725148</v>
      </c>
      <c r="W3">
        <v>1030.8770283991353</v>
      </c>
      <c r="X3">
        <v>1129.4016676404106</v>
      </c>
      <c r="Y3">
        <v>1039.0831845261987</v>
      </c>
      <c r="Z3">
        <v>1178.4461748155113</v>
      </c>
      <c r="AA3">
        <v>1099.842241333778</v>
      </c>
      <c r="AB3">
        <v>1304.8665082648104</v>
      </c>
      <c r="AC3">
        <v>1087.8614621759755</v>
      </c>
      <c r="AD3">
        <v>1057.0683247208799</v>
      </c>
      <c r="AE3">
        <v>920.76765690212278</v>
      </c>
      <c r="AF3">
        <v>1204.9590087080128</v>
      </c>
      <c r="AG3">
        <v>1119.1393479492745</v>
      </c>
    </row>
    <row r="4" spans="1:33" x14ac:dyDescent="0.25">
      <c r="A4" t="s">
        <v>2</v>
      </c>
      <c r="B4">
        <v>1277.5743312328955</v>
      </c>
      <c r="C4">
        <v>1235.5341625388528</v>
      </c>
      <c r="D4">
        <v>1128.1142051836575</v>
      </c>
      <c r="E4">
        <v>1178.7384427221957</v>
      </c>
      <c r="F4">
        <v>1169.7911648013696</v>
      </c>
      <c r="G4">
        <v>1215.3690981337045</v>
      </c>
      <c r="H4">
        <v>1237.687208183354</v>
      </c>
      <c r="I4">
        <v>1308.9318060851519</v>
      </c>
      <c r="J4">
        <v>1387.5863499751372</v>
      </c>
      <c r="K4">
        <v>1205.0285823393565</v>
      </c>
      <c r="L4">
        <v>1240.4571029832632</v>
      </c>
      <c r="M4">
        <v>1193.5902620892255</v>
      </c>
      <c r="N4">
        <v>1156.8530785617463</v>
      </c>
      <c r="O4">
        <v>1111.0544431569037</v>
      </c>
      <c r="P4">
        <v>1369.1956993941435</v>
      </c>
      <c r="Q4">
        <v>1157.9494063115776</v>
      </c>
      <c r="R4">
        <v>1325.5078853519515</v>
      </c>
      <c r="S4">
        <v>1182.2831042333037</v>
      </c>
      <c r="T4">
        <v>1272.273318615071</v>
      </c>
      <c r="U4">
        <v>1195.38187393115</v>
      </c>
      <c r="V4">
        <v>1151.1042656837508</v>
      </c>
      <c r="W4">
        <v>992.44231757166187</v>
      </c>
      <c r="X4">
        <v>1280.5142052637452</v>
      </c>
      <c r="Y4">
        <v>1229.7584637798636</v>
      </c>
      <c r="Z4">
        <v>1326.466178685685</v>
      </c>
      <c r="AA4">
        <v>1258.6442848163474</v>
      </c>
      <c r="AB4">
        <v>1176.8374654136487</v>
      </c>
      <c r="AC4">
        <v>1180.8439359764322</v>
      </c>
      <c r="AD4">
        <v>1117.7705720631718</v>
      </c>
      <c r="AE4">
        <v>1203.4291836218194</v>
      </c>
      <c r="AF4">
        <v>1238.2743006707751</v>
      </c>
      <c r="AG4">
        <v>1231.3021774739238</v>
      </c>
    </row>
    <row r="5" spans="1:33" x14ac:dyDescent="0.25">
      <c r="A5" t="s">
        <v>3</v>
      </c>
      <c r="B5">
        <v>1467.121540954327</v>
      </c>
      <c r="C5">
        <v>1457.0276404776673</v>
      </c>
      <c r="D5">
        <v>1444.7876198165482</v>
      </c>
      <c r="E5">
        <v>1212.6697514075577</v>
      </c>
      <c r="F5">
        <v>1257.6563771994261</v>
      </c>
      <c r="G5">
        <v>1126.5066307053614</v>
      </c>
      <c r="H5">
        <v>1461.4800017669313</v>
      </c>
      <c r="I5">
        <v>1129.0476365694517</v>
      </c>
      <c r="J5">
        <v>1403.0557360777291</v>
      </c>
      <c r="K5">
        <v>1369.5848812995916</v>
      </c>
      <c r="L5">
        <v>1245.6286570169523</v>
      </c>
      <c r="M5">
        <v>1118.7576070064802</v>
      </c>
      <c r="N5">
        <v>1411.7652904501174</v>
      </c>
      <c r="O5">
        <v>1326.5269123498706</v>
      </c>
      <c r="P5">
        <v>1274.3912323471591</v>
      </c>
      <c r="Q5">
        <v>1213.7885624905039</v>
      </c>
      <c r="R5">
        <v>1326.6586456902928</v>
      </c>
      <c r="S5">
        <v>1205.8590765275408</v>
      </c>
      <c r="T5">
        <v>1416.3116663264173</v>
      </c>
      <c r="U5">
        <v>1070.2035362751767</v>
      </c>
      <c r="V5">
        <v>1248.8199294638116</v>
      </c>
      <c r="W5">
        <v>1051.7575415478104</v>
      </c>
      <c r="X5">
        <v>1234.8099696263293</v>
      </c>
      <c r="Y5">
        <v>1070.7202747334134</v>
      </c>
      <c r="Z5">
        <v>1205.2167718417636</v>
      </c>
      <c r="AA5">
        <v>1127.7208458975301</v>
      </c>
      <c r="AB5">
        <v>1188.8220950247373</v>
      </c>
      <c r="AC5">
        <v>1195.8897285528656</v>
      </c>
      <c r="AD5">
        <v>1304.2430901142052</v>
      </c>
      <c r="AE5">
        <v>1151.3441447739176</v>
      </c>
      <c r="AF5">
        <v>1129.075471203171</v>
      </c>
      <c r="AG5">
        <v>1232.2092318721736</v>
      </c>
    </row>
    <row r="6" spans="1:33" x14ac:dyDescent="0.25">
      <c r="A6" t="s">
        <v>4</v>
      </c>
      <c r="B6">
        <v>1355.0163496062692</v>
      </c>
      <c r="C6">
        <v>1359.5201505765547</v>
      </c>
      <c r="D6">
        <v>1304.6875064955757</v>
      </c>
      <c r="E6">
        <v>1316.2211112986315</v>
      </c>
      <c r="F6">
        <v>1315.9983722251618</v>
      </c>
      <c r="G6">
        <v>1185.5293606211885</v>
      </c>
      <c r="H6">
        <v>1373.5381537320245</v>
      </c>
      <c r="I6">
        <v>1249.0361797192418</v>
      </c>
      <c r="J6">
        <v>1255.4000186499507</v>
      </c>
      <c r="K6">
        <v>1341.5300091493336</v>
      </c>
      <c r="L6">
        <v>1295.9114934327229</v>
      </c>
      <c r="M6">
        <v>1266.533388673188</v>
      </c>
      <c r="N6">
        <v>1272.6216973450182</v>
      </c>
      <c r="O6">
        <v>1149.8778314830804</v>
      </c>
      <c r="P6">
        <v>1325.6714928943711</v>
      </c>
      <c r="Q6">
        <v>1191.7673012150613</v>
      </c>
      <c r="R6">
        <v>1209.8435868138708</v>
      </c>
      <c r="S6">
        <v>1310.5891585725963</v>
      </c>
      <c r="T6">
        <v>1305.535925484503</v>
      </c>
      <c r="U6">
        <v>1146.8347429177609</v>
      </c>
      <c r="V6">
        <v>1187.5898434743776</v>
      </c>
      <c r="W6">
        <v>1060.2634959100837</v>
      </c>
      <c r="X6">
        <v>1295.445371625945</v>
      </c>
      <c r="Y6">
        <v>1179.3560386812453</v>
      </c>
      <c r="Z6">
        <v>1299.8033256268336</v>
      </c>
      <c r="AA6">
        <v>1247.3692423488174</v>
      </c>
      <c r="AB6">
        <v>1249.3883745618527</v>
      </c>
      <c r="AC6">
        <v>1215.5189089933231</v>
      </c>
      <c r="AD6">
        <v>1165.2818335246293</v>
      </c>
      <c r="AE6">
        <v>1110.4344899415323</v>
      </c>
      <c r="AF6">
        <v>1148.847029645246</v>
      </c>
      <c r="AG6">
        <v>1115.5020454056742</v>
      </c>
    </row>
    <row r="7" spans="1:33" x14ac:dyDescent="0.25">
      <c r="A7" t="s">
        <v>5</v>
      </c>
      <c r="B7">
        <v>1645.1316948041904</v>
      </c>
      <c r="C7">
        <v>1592.6754694043998</v>
      </c>
      <c r="D7">
        <v>1592.8254567302581</v>
      </c>
      <c r="E7">
        <v>1445.9620560112244</v>
      </c>
      <c r="F7">
        <v>1453.6763128685645</v>
      </c>
      <c r="G7">
        <v>1399.821813584836</v>
      </c>
      <c r="H7">
        <v>1614.1903907842163</v>
      </c>
      <c r="I7">
        <v>1482.4876495286471</v>
      </c>
      <c r="J7">
        <v>1609.9122614917319</v>
      </c>
      <c r="K7">
        <v>1488.3436433691745</v>
      </c>
      <c r="L7">
        <v>1517.7280168248271</v>
      </c>
      <c r="M7">
        <v>1464.8983786444539</v>
      </c>
      <c r="N7">
        <v>1346.1749505113955</v>
      </c>
      <c r="O7">
        <v>1489.0488388415524</v>
      </c>
      <c r="P7">
        <v>1476.423179433335</v>
      </c>
      <c r="Q7">
        <v>1538.7020675526046</v>
      </c>
      <c r="R7">
        <v>1281.2667051790702</v>
      </c>
      <c r="S7">
        <v>1211.7078561977262</v>
      </c>
      <c r="T7">
        <v>1275.2861625745254</v>
      </c>
      <c r="U7">
        <v>1194.0233439770695</v>
      </c>
      <c r="V7">
        <v>1205.7297451663244</v>
      </c>
      <c r="W7">
        <v>1009.1070805085733</v>
      </c>
      <c r="X7">
        <v>1292.8781525214094</v>
      </c>
      <c r="Y7">
        <v>1126.8750431573608</v>
      </c>
      <c r="Z7">
        <v>1402.4981533105324</v>
      </c>
      <c r="AA7">
        <v>1225.9400795697352</v>
      </c>
      <c r="AB7">
        <v>1353.2342652540749</v>
      </c>
      <c r="AC7">
        <v>1328.6396479305258</v>
      </c>
      <c r="AD7">
        <v>1386.6999452144278</v>
      </c>
      <c r="AE7">
        <v>1274.5463186572963</v>
      </c>
      <c r="AF7">
        <v>1321.3791815538139</v>
      </c>
      <c r="AG7">
        <v>1336.7523779462292</v>
      </c>
    </row>
    <row r="8" spans="1:33" x14ac:dyDescent="0.25">
      <c r="A8" t="s">
        <v>6</v>
      </c>
      <c r="B8">
        <v>1264.7210491435003</v>
      </c>
      <c r="C8">
        <v>1368.1116222256267</v>
      </c>
      <c r="D8">
        <v>1287.6190199573084</v>
      </c>
      <c r="E8">
        <v>1220.8597976849233</v>
      </c>
      <c r="F8">
        <v>1298.3974928631517</v>
      </c>
      <c r="G8">
        <v>1306.5671118909122</v>
      </c>
      <c r="H8">
        <v>1185.2750033784332</v>
      </c>
      <c r="I8">
        <v>1353.7390937847185</v>
      </c>
      <c r="J8">
        <v>1248.0562756727143</v>
      </c>
      <c r="K8">
        <v>1320.7945602666186</v>
      </c>
      <c r="L8">
        <v>1148.4987668814417</v>
      </c>
      <c r="M8">
        <v>1223.7168729760515</v>
      </c>
      <c r="N8">
        <v>1211.7803182922362</v>
      </c>
      <c r="O8">
        <v>1168.3449561974953</v>
      </c>
      <c r="P8">
        <v>1264.9693378833604</v>
      </c>
      <c r="Q8">
        <v>1167.4038716350833</v>
      </c>
      <c r="R8">
        <v>1449.0866560809013</v>
      </c>
      <c r="S8">
        <v>1374.2053694165879</v>
      </c>
      <c r="T8">
        <v>1260.5997133176324</v>
      </c>
      <c r="U8">
        <v>1226.5868295884031</v>
      </c>
      <c r="V8">
        <v>1184.7957455916462</v>
      </c>
      <c r="W8">
        <v>1134.9927447624846</v>
      </c>
      <c r="X8">
        <v>1211.2724066274859</v>
      </c>
      <c r="Y8">
        <v>1236.0693771854253</v>
      </c>
      <c r="Z8">
        <v>1398.361095481057</v>
      </c>
      <c r="AA8">
        <v>1263.7890619602758</v>
      </c>
      <c r="AB8">
        <v>1518.9397918314935</v>
      </c>
      <c r="AC8">
        <v>1510.73359002653</v>
      </c>
      <c r="AD8">
        <v>1491.4033793050494</v>
      </c>
      <c r="AE8">
        <v>1540.1757913586143</v>
      </c>
      <c r="AF8">
        <v>1429.6149502317726</v>
      </c>
      <c r="AG8">
        <v>1509.9794928547915</v>
      </c>
    </row>
    <row r="9" spans="1:33" x14ac:dyDescent="0.25">
      <c r="A9" t="s">
        <v>7</v>
      </c>
      <c r="B9">
        <v>1091.4205520782953</v>
      </c>
      <c r="C9">
        <v>1063.389001683146</v>
      </c>
      <c r="D9">
        <v>1103.3685097476155</v>
      </c>
      <c r="E9">
        <v>1030.3428668747376</v>
      </c>
      <c r="F9">
        <v>1006.5587110525528</v>
      </c>
      <c r="G9">
        <v>1008.5907074184219</v>
      </c>
      <c r="H9">
        <v>1036.8180352522313</v>
      </c>
      <c r="I9">
        <v>1012.5835482825099</v>
      </c>
      <c r="J9">
        <v>1046.9311426054801</v>
      </c>
      <c r="K9">
        <v>1056.7092416760854</v>
      </c>
      <c r="L9">
        <v>1031.2350768955766</v>
      </c>
      <c r="M9">
        <v>1073.5548642959388</v>
      </c>
      <c r="N9">
        <v>1033.6350012034104</v>
      </c>
      <c r="O9">
        <v>1020.7931275080439</v>
      </c>
      <c r="P9">
        <v>1098.1348421618663</v>
      </c>
      <c r="Q9">
        <v>1137.7247395645527</v>
      </c>
      <c r="R9">
        <v>1131.3839151739812</v>
      </c>
      <c r="S9">
        <v>1225.7950801610264</v>
      </c>
      <c r="T9">
        <v>1047.1525935795021</v>
      </c>
      <c r="U9">
        <v>1072.4339536719285</v>
      </c>
      <c r="V9">
        <v>1069.2702048192205</v>
      </c>
      <c r="W9">
        <v>1044.3341702318089</v>
      </c>
      <c r="X9">
        <v>1102.9238371071656</v>
      </c>
      <c r="Y9">
        <v>1084.2251107589282</v>
      </c>
      <c r="Z9">
        <v>1119.599437124665</v>
      </c>
      <c r="AA9">
        <v>1057.5379302603246</v>
      </c>
      <c r="AB9">
        <v>1160.5045077793966</v>
      </c>
      <c r="AC9">
        <v>1213.2572994280902</v>
      </c>
      <c r="AD9">
        <v>1193.3292204027143</v>
      </c>
      <c r="AE9">
        <v>1162.8311433959216</v>
      </c>
      <c r="AF9">
        <v>1146.4784949268951</v>
      </c>
      <c r="AG9">
        <v>1207.2929765818731</v>
      </c>
    </row>
    <row r="10" spans="1:33" x14ac:dyDescent="0.25">
      <c r="A10" t="s">
        <v>8</v>
      </c>
      <c r="B10">
        <v>1252.6886658226481</v>
      </c>
      <c r="C10">
        <v>1202.1183101285947</v>
      </c>
      <c r="D10">
        <v>1145.7172030568136</v>
      </c>
      <c r="E10">
        <v>1191.8649829645319</v>
      </c>
      <c r="F10">
        <v>1042.6512906450885</v>
      </c>
      <c r="G10">
        <v>1036.8632984262615</v>
      </c>
      <c r="H10">
        <v>1208.62898422381</v>
      </c>
      <c r="I10">
        <v>1171.6802287005057</v>
      </c>
      <c r="J10">
        <v>1157.5939547876499</v>
      </c>
      <c r="K10">
        <v>1173.0321244908953</v>
      </c>
      <c r="L10">
        <v>1219.4991461791442</v>
      </c>
      <c r="M10">
        <v>1058.8684336421925</v>
      </c>
      <c r="N10">
        <v>1145.6656991413602</v>
      </c>
      <c r="O10">
        <v>1088.1803421204309</v>
      </c>
      <c r="P10">
        <v>1223.9069402260598</v>
      </c>
      <c r="Q10">
        <v>1273.9204131748597</v>
      </c>
      <c r="R10">
        <v>1102.9281280530352</v>
      </c>
      <c r="S10">
        <v>1100.8585109846445</v>
      </c>
      <c r="T10">
        <v>974.53303687634411</v>
      </c>
      <c r="U10">
        <v>1077.5127953416691</v>
      </c>
      <c r="V10">
        <v>966.53121800953045</v>
      </c>
      <c r="W10">
        <v>916.65904097303121</v>
      </c>
      <c r="X10">
        <v>1102.0436381418385</v>
      </c>
      <c r="Y10">
        <v>973.52091297338711</v>
      </c>
      <c r="Z10">
        <v>1305.4795107311902</v>
      </c>
      <c r="AA10">
        <v>1199.6870921452009</v>
      </c>
      <c r="AB10">
        <v>1142.1522439398968</v>
      </c>
      <c r="AC10">
        <v>1078.6943402573309</v>
      </c>
      <c r="AD10">
        <v>970.66098033760647</v>
      </c>
      <c r="AE10">
        <v>1051.7007264197377</v>
      </c>
      <c r="AF10">
        <v>1085.3003724793464</v>
      </c>
      <c r="AG10">
        <v>1064.4364606363661</v>
      </c>
    </row>
    <row r="11" spans="1:33" x14ac:dyDescent="0.25">
      <c r="A11" t="s">
        <v>9</v>
      </c>
      <c r="B11">
        <v>1268.4570661517728</v>
      </c>
      <c r="C11">
        <v>1214.0171598179772</v>
      </c>
      <c r="D11">
        <v>1150.893772713453</v>
      </c>
      <c r="E11">
        <v>1143.7039318239365</v>
      </c>
      <c r="F11">
        <v>1007.6920104960025</v>
      </c>
      <c r="G11">
        <v>929.51634834794015</v>
      </c>
      <c r="H11">
        <v>1288.2182402682142</v>
      </c>
      <c r="I11">
        <v>1094.8799300678788</v>
      </c>
      <c r="J11">
        <v>1114.1974760144071</v>
      </c>
      <c r="K11">
        <v>1067.5638024893524</v>
      </c>
      <c r="L11">
        <v>1119.818200969894</v>
      </c>
      <c r="M11">
        <v>1156.5103967586929</v>
      </c>
      <c r="N11">
        <v>1054.2543721368938</v>
      </c>
      <c r="O11">
        <v>1025.4521403508388</v>
      </c>
      <c r="P11">
        <v>1008.1961424293345</v>
      </c>
      <c r="Q11">
        <v>1083.006446200191</v>
      </c>
      <c r="R11">
        <v>1190.5413784094703</v>
      </c>
      <c r="S11">
        <v>1179.1400279491259</v>
      </c>
      <c r="T11">
        <v>1107.4496149018114</v>
      </c>
      <c r="U11">
        <v>1106.3105505292949</v>
      </c>
      <c r="V11">
        <v>990.39800661563868</v>
      </c>
      <c r="W11">
        <v>1005.3270855810351</v>
      </c>
      <c r="X11">
        <v>1156.4839402075681</v>
      </c>
      <c r="Y11">
        <v>1106.9378449121255</v>
      </c>
      <c r="Z11">
        <v>1207.8522550191747</v>
      </c>
      <c r="AA11">
        <v>1127.2856206655429</v>
      </c>
      <c r="AB11">
        <v>1175.0135814473442</v>
      </c>
      <c r="AC11">
        <v>1139.7238528561115</v>
      </c>
      <c r="AD11">
        <v>1190.8511200585808</v>
      </c>
      <c r="AE11">
        <v>1095.9821848178785</v>
      </c>
      <c r="AF11">
        <v>1215.8557899740113</v>
      </c>
      <c r="AG11">
        <v>1155.4112747537756</v>
      </c>
    </row>
    <row r="12" spans="1:33" x14ac:dyDescent="0.25">
      <c r="A12" t="s">
        <v>10</v>
      </c>
      <c r="B12">
        <v>1175.6197060379673</v>
      </c>
      <c r="C12">
        <v>1200.340332276869</v>
      </c>
      <c r="D12">
        <v>1093.4639994288298</v>
      </c>
      <c r="E12">
        <v>1114.9791172023019</v>
      </c>
      <c r="F12">
        <v>1104.9557723191924</v>
      </c>
      <c r="G12">
        <v>890.75906967988942</v>
      </c>
      <c r="H12">
        <v>1146.3757514488761</v>
      </c>
      <c r="I12">
        <v>1067.6275431182712</v>
      </c>
      <c r="J12">
        <v>1241.3272661244905</v>
      </c>
      <c r="K12">
        <v>1184.7879766446129</v>
      </c>
      <c r="L12">
        <v>1188.5854310205075</v>
      </c>
      <c r="M12">
        <v>1134.0037676037186</v>
      </c>
      <c r="N12">
        <v>1180.945020036198</v>
      </c>
      <c r="O12">
        <v>1146.7486429398054</v>
      </c>
      <c r="P12">
        <v>1109.3288932714813</v>
      </c>
      <c r="Q12">
        <v>1125.1682755738032</v>
      </c>
      <c r="R12">
        <v>1090.604415383712</v>
      </c>
      <c r="S12">
        <v>1070.4404848544316</v>
      </c>
      <c r="T12">
        <v>1005.153714193207</v>
      </c>
      <c r="U12">
        <v>1086.7321906444504</v>
      </c>
      <c r="V12">
        <v>1049.4895035662651</v>
      </c>
      <c r="W12">
        <v>919.45157357743051</v>
      </c>
      <c r="X12">
        <v>994.12510423542972</v>
      </c>
      <c r="Y12">
        <v>995.58878528067908</v>
      </c>
      <c r="Z12">
        <v>1159.626856678196</v>
      </c>
      <c r="AA12">
        <v>1191.6342988795441</v>
      </c>
      <c r="AB12">
        <v>1359.4811542428693</v>
      </c>
      <c r="AC12">
        <v>1292.0304981735985</v>
      </c>
      <c r="AD12">
        <v>1257.2780736119844</v>
      </c>
      <c r="AE12">
        <v>1190.9939457882542</v>
      </c>
      <c r="AF12">
        <v>1158.8307978798935</v>
      </c>
      <c r="AG12">
        <v>1104.4760384175322</v>
      </c>
    </row>
    <row r="13" spans="1:33" x14ac:dyDescent="0.25">
      <c r="A13" t="s">
        <v>11</v>
      </c>
      <c r="B13">
        <v>1089.7490273188737</v>
      </c>
      <c r="C13">
        <v>1115.2252243087262</v>
      </c>
      <c r="D13">
        <v>1039.6820006418034</v>
      </c>
      <c r="E13">
        <v>991.58352298359478</v>
      </c>
      <c r="F13">
        <v>927.41267960475955</v>
      </c>
      <c r="G13">
        <v>879.35264973941753</v>
      </c>
      <c r="H13">
        <v>1068.0690855748057</v>
      </c>
      <c r="I13">
        <v>925.96810187191477</v>
      </c>
      <c r="J13">
        <v>1037.4542422389004</v>
      </c>
      <c r="K13">
        <v>1006.2815790745975</v>
      </c>
      <c r="L13">
        <v>1011.2911998087433</v>
      </c>
      <c r="M13">
        <v>942.58594634851033</v>
      </c>
      <c r="N13">
        <v>1018.2419265669503</v>
      </c>
      <c r="O13">
        <v>920.96347667319299</v>
      </c>
      <c r="P13">
        <v>1091.6739170398123</v>
      </c>
      <c r="Q13">
        <v>973.45683480765183</v>
      </c>
      <c r="R13">
        <v>1058.9009471217553</v>
      </c>
      <c r="S13">
        <v>1013.048601905123</v>
      </c>
      <c r="T13">
        <v>906.70273158502823</v>
      </c>
      <c r="U13">
        <v>963.05178410649955</v>
      </c>
      <c r="V13">
        <v>1002.6818052090989</v>
      </c>
      <c r="W13">
        <v>804.14314009967893</v>
      </c>
      <c r="X13">
        <v>951.02625946119986</v>
      </c>
      <c r="Y13">
        <v>934.20632615294267</v>
      </c>
      <c r="Z13">
        <v>1007.6828273845672</v>
      </c>
      <c r="AA13">
        <v>964.9400937190527</v>
      </c>
      <c r="AB13">
        <v>1087.6325039198525</v>
      </c>
      <c r="AC13">
        <v>1020.6791249143316</v>
      </c>
      <c r="AD13">
        <v>1056.498202687741</v>
      </c>
      <c r="AE13">
        <v>1067.4359015279936</v>
      </c>
      <c r="AF13">
        <v>1140.8074362309599</v>
      </c>
      <c r="AG13">
        <v>1066.4719935859043</v>
      </c>
    </row>
    <row r="14" spans="1:33" x14ac:dyDescent="0.25">
      <c r="A14" t="s">
        <v>12</v>
      </c>
      <c r="B14">
        <v>1546.283315015778</v>
      </c>
      <c r="C14">
        <v>1490.2228829681785</v>
      </c>
      <c r="D14">
        <v>1456.7558406201813</v>
      </c>
      <c r="E14">
        <v>1280.644045104892</v>
      </c>
      <c r="F14">
        <v>1216.4585989291402</v>
      </c>
      <c r="G14">
        <v>1071.7689314104034</v>
      </c>
      <c r="H14">
        <v>1552.5216006216428</v>
      </c>
      <c r="I14">
        <v>1321.6797105460423</v>
      </c>
      <c r="J14">
        <v>1477.8077655316572</v>
      </c>
      <c r="K14">
        <v>1517.7758166814556</v>
      </c>
      <c r="L14">
        <v>1445.2986956804016</v>
      </c>
      <c r="M14">
        <v>1204.3091167600764</v>
      </c>
      <c r="N14">
        <v>1294.3978848602194</v>
      </c>
      <c r="O14">
        <v>1364.012090781689</v>
      </c>
      <c r="P14">
        <v>1376.6327172950855</v>
      </c>
      <c r="Q14">
        <v>1144.6124039517636</v>
      </c>
      <c r="R14">
        <v>1243.1460967221835</v>
      </c>
      <c r="S14">
        <v>1211.6511363064162</v>
      </c>
      <c r="T14">
        <v>1252.377091184298</v>
      </c>
      <c r="U14">
        <v>1031.681339376604</v>
      </c>
      <c r="V14">
        <v>1029.8421823594049</v>
      </c>
      <c r="W14">
        <v>893.73286811228456</v>
      </c>
      <c r="X14">
        <v>1117.4649659929521</v>
      </c>
      <c r="Y14">
        <v>1127.810063528447</v>
      </c>
      <c r="Z14">
        <v>1243.4218115737847</v>
      </c>
      <c r="AA14">
        <v>1168.2659836473813</v>
      </c>
      <c r="AB14">
        <v>1047.2402084197206</v>
      </c>
      <c r="AC14">
        <v>1080.739707547496</v>
      </c>
      <c r="AD14">
        <v>1072.6626291569391</v>
      </c>
      <c r="AE14">
        <v>1094.0692235772003</v>
      </c>
      <c r="AF14">
        <v>1174.8643702972672</v>
      </c>
      <c r="AG14">
        <v>1095.9013514833239</v>
      </c>
    </row>
    <row r="15" spans="1:33" x14ac:dyDescent="0.25">
      <c r="A15" t="s">
        <v>13</v>
      </c>
      <c r="B15">
        <v>1288.4615381133722</v>
      </c>
      <c r="C15">
        <v>1281.2821372225073</v>
      </c>
      <c r="D15">
        <v>1289.7291187081787</v>
      </c>
      <c r="E15">
        <v>1189.9191579533908</v>
      </c>
      <c r="F15">
        <v>1207.2217263303596</v>
      </c>
      <c r="G15">
        <v>1041.9704796966148</v>
      </c>
      <c r="H15">
        <v>1373.3809635253656</v>
      </c>
      <c r="I15">
        <v>1187.8193233437137</v>
      </c>
      <c r="J15">
        <v>1339.2320054943152</v>
      </c>
      <c r="K15">
        <v>1259.3066530166188</v>
      </c>
      <c r="L15">
        <v>1296.32745163202</v>
      </c>
      <c r="M15">
        <v>1154.9684615520641</v>
      </c>
      <c r="N15">
        <v>1179.156324163996</v>
      </c>
      <c r="O15">
        <v>1158.7418504688244</v>
      </c>
      <c r="P15">
        <v>1157.055721590235</v>
      </c>
      <c r="Q15">
        <v>1186.9649896265569</v>
      </c>
      <c r="R15">
        <v>1203.4271166279736</v>
      </c>
      <c r="S15">
        <v>1023.7419865477218</v>
      </c>
      <c r="T15">
        <v>1094.5747419443119</v>
      </c>
      <c r="U15">
        <v>1002.2086260485805</v>
      </c>
      <c r="V15">
        <v>1048.7570803796452</v>
      </c>
      <c r="W15">
        <v>988.23180015704042</v>
      </c>
      <c r="X15">
        <v>1086.8545830277853</v>
      </c>
      <c r="Y15">
        <v>1050.6252751285151</v>
      </c>
      <c r="Z15">
        <v>1109.0955600425741</v>
      </c>
      <c r="AA15">
        <v>1104.8123538978011</v>
      </c>
      <c r="AB15">
        <v>1019.010222646109</v>
      </c>
      <c r="AC15">
        <v>1089.4801844847541</v>
      </c>
      <c r="AD15">
        <v>1049.6935891398703</v>
      </c>
      <c r="AE15">
        <v>1038.5705342089821</v>
      </c>
      <c r="AF15">
        <v>1070.8222659013923</v>
      </c>
      <c r="AG15">
        <v>1042.5864799989511</v>
      </c>
    </row>
    <row r="16" spans="1:33" x14ac:dyDescent="0.25">
      <c r="A16" t="s">
        <v>14</v>
      </c>
      <c r="B16">
        <v>1303.0715915891551</v>
      </c>
      <c r="C16">
        <v>1307.9249227071082</v>
      </c>
      <c r="D16">
        <v>1390.9389460413715</v>
      </c>
      <c r="E16">
        <v>1270.4357228070635</v>
      </c>
      <c r="F16">
        <v>1267.1718240619814</v>
      </c>
      <c r="G16">
        <v>1046.7507083281664</v>
      </c>
      <c r="H16">
        <v>1470.9810795887324</v>
      </c>
      <c r="I16">
        <v>1015.4380486359892</v>
      </c>
      <c r="J16">
        <v>1387.9844272326654</v>
      </c>
      <c r="K16">
        <v>1337.0943029874779</v>
      </c>
      <c r="L16">
        <v>1376.5788252747798</v>
      </c>
      <c r="M16">
        <v>1278.1547812479616</v>
      </c>
      <c r="N16">
        <v>1237.7815790763109</v>
      </c>
      <c r="O16">
        <v>1256.2647453262023</v>
      </c>
      <c r="P16">
        <v>1328.2382219962569</v>
      </c>
      <c r="Q16">
        <v>1278.18061484689</v>
      </c>
      <c r="R16">
        <v>1323.522859125439</v>
      </c>
      <c r="S16">
        <v>1284.6565908117996</v>
      </c>
      <c r="T16">
        <v>1307.4781476832904</v>
      </c>
      <c r="U16">
        <v>1172.4715517897944</v>
      </c>
      <c r="V16">
        <v>1173.6096293607316</v>
      </c>
      <c r="W16">
        <v>1095.8079642463308</v>
      </c>
      <c r="X16">
        <v>1247.7777163234305</v>
      </c>
      <c r="Y16">
        <v>1186.3953585300499</v>
      </c>
      <c r="Z16">
        <v>1293.956111060153</v>
      </c>
      <c r="AA16">
        <v>1304.7688632607556</v>
      </c>
      <c r="AB16">
        <v>1346.2594482766417</v>
      </c>
      <c r="AC16">
        <v>1274.2325826701772</v>
      </c>
      <c r="AD16">
        <v>1310.1972579395454</v>
      </c>
      <c r="AE16">
        <v>1242.6853320558546</v>
      </c>
      <c r="AF16">
        <v>1392.6455791170438</v>
      </c>
      <c r="AG16">
        <v>1285.2131625314357</v>
      </c>
    </row>
    <row r="17" spans="1:33" x14ac:dyDescent="0.25">
      <c r="A17" t="s">
        <v>15</v>
      </c>
      <c r="B17">
        <v>1623.2746763107689</v>
      </c>
      <c r="C17">
        <v>1590.4376396801035</v>
      </c>
      <c r="D17">
        <v>1531.8319661765736</v>
      </c>
      <c r="E17">
        <v>1361.4002898358058</v>
      </c>
      <c r="F17">
        <v>1328.7134214397529</v>
      </c>
      <c r="G17">
        <v>1353.0431346887699</v>
      </c>
      <c r="H17">
        <v>1581.3582728775718</v>
      </c>
      <c r="I17">
        <v>1550.2750978307649</v>
      </c>
      <c r="J17">
        <v>1504.0059369708144</v>
      </c>
      <c r="K17">
        <v>1503.359367730638</v>
      </c>
      <c r="L17">
        <v>1368.5860497393537</v>
      </c>
      <c r="M17">
        <v>1365.0093183562476</v>
      </c>
      <c r="N17">
        <v>1399.1482491697843</v>
      </c>
      <c r="O17">
        <v>1271.3300296047296</v>
      </c>
      <c r="P17">
        <v>1480.9022678915903</v>
      </c>
      <c r="Q17">
        <v>1312.0662678445594</v>
      </c>
      <c r="R17">
        <v>1343.3285931435207</v>
      </c>
      <c r="S17">
        <v>1229.0973671509912</v>
      </c>
      <c r="T17">
        <v>1303.6674383131885</v>
      </c>
      <c r="U17">
        <v>1049.1684362572969</v>
      </c>
      <c r="V17">
        <v>1131.6088386528941</v>
      </c>
      <c r="W17">
        <v>1047.5670621641013</v>
      </c>
      <c r="X17">
        <v>1278.6763936652301</v>
      </c>
      <c r="Y17">
        <v>1213.4327749508154</v>
      </c>
      <c r="Z17">
        <v>1316.6461863843056</v>
      </c>
      <c r="AA17">
        <v>1289.1993534878907</v>
      </c>
      <c r="AB17">
        <v>1335.2485600568752</v>
      </c>
      <c r="AC17">
        <v>1278.20932393678</v>
      </c>
      <c r="AD17">
        <v>1292.0791090528214</v>
      </c>
      <c r="AE17">
        <v>1342.8744057630029</v>
      </c>
      <c r="AF17">
        <v>1343.2885153868451</v>
      </c>
      <c r="AG17">
        <v>1261.1077610825519</v>
      </c>
    </row>
    <row r="18" spans="1:33" x14ac:dyDescent="0.25">
      <c r="A18" t="s">
        <v>16</v>
      </c>
      <c r="B18">
        <v>1326.2751066622586</v>
      </c>
      <c r="C18">
        <v>1313.6848600179437</v>
      </c>
      <c r="D18">
        <v>1264.8914637130863</v>
      </c>
      <c r="E18">
        <v>1214.0441873910352</v>
      </c>
      <c r="F18">
        <v>1169.0736609776243</v>
      </c>
      <c r="G18">
        <v>1108.3972584101268</v>
      </c>
      <c r="H18">
        <v>1309.0479947064355</v>
      </c>
      <c r="I18">
        <v>1202.1424712917558</v>
      </c>
      <c r="J18">
        <v>1298.6404852645978</v>
      </c>
      <c r="K18">
        <v>1260.4919515643139</v>
      </c>
      <c r="L18">
        <v>1246.4189847234534</v>
      </c>
      <c r="M18">
        <v>1183.2965348227372</v>
      </c>
      <c r="N18">
        <v>1204.9045814499643</v>
      </c>
      <c r="O18">
        <v>1170.4291255831229</v>
      </c>
      <c r="P18">
        <v>1250.5171786102781</v>
      </c>
      <c r="Q18">
        <v>1199.2837678122612</v>
      </c>
      <c r="R18">
        <v>1228.0221088673129</v>
      </c>
      <c r="S18">
        <v>1180.2392729484648</v>
      </c>
      <c r="T18">
        <v>1171.0470146392972</v>
      </c>
      <c r="U18">
        <v>1092.4399861759709</v>
      </c>
      <c r="V18">
        <v>1100.8904048016568</v>
      </c>
      <c r="W18">
        <v>999.64632758949949</v>
      </c>
      <c r="X18">
        <v>1165.4465474311951</v>
      </c>
      <c r="Y18">
        <v>1103.640322285293</v>
      </c>
      <c r="Z18">
        <v>1238.2768170506663</v>
      </c>
      <c r="AA18">
        <v>1175.4291563926652</v>
      </c>
      <c r="AB18">
        <v>1230.9753954052881</v>
      </c>
      <c r="AC18">
        <v>1199.1022791949547</v>
      </c>
      <c r="AD18">
        <v>1194.3811551553445</v>
      </c>
      <c r="AE18">
        <v>1165.8560655206752</v>
      </c>
      <c r="AF18">
        <v>1213.4029042804295</v>
      </c>
      <c r="AG18">
        <v>1188.5188115049184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1331.6577473894715</v>
      </c>
      <c r="C20" s="3">
        <f t="shared" ref="C20:AG20" si="0">AVERAGE(C4:C18)</f>
        <v>1319.4341010689502</v>
      </c>
      <c r="D20" s="3">
        <f t="shared" si="0"/>
        <v>1281.6871086020838</v>
      </c>
      <c r="E20" s="3">
        <f t="shared" si="0"/>
        <v>1210.8912656043881</v>
      </c>
      <c r="F20" s="3">
        <f t="shared" si="0"/>
        <v>1184.8952943876086</v>
      </c>
      <c r="G20" s="3">
        <f t="shared" si="0"/>
        <v>1106.7204400721344</v>
      </c>
      <c r="H20" s="3">
        <f t="shared" si="0"/>
        <v>1327.1713843955097</v>
      </c>
      <c r="I20" s="3">
        <f t="shared" si="0"/>
        <v>1204.8890912917705</v>
      </c>
      <c r="J20" s="3">
        <f t="shared" si="0"/>
        <v>1300.6123562754829</v>
      </c>
      <c r="K20" s="3">
        <f t="shared" si="0"/>
        <v>1272.7789661853415</v>
      </c>
      <c r="L20" s="3">
        <f t="shared" si="0"/>
        <v>1250.1242066042055</v>
      </c>
      <c r="M20" s="3">
        <f t="shared" si="0"/>
        <v>1187.9172087185027</v>
      </c>
      <c r="N20" s="3">
        <f t="shared" si="0"/>
        <v>1209.8217315310401</v>
      </c>
      <c r="O20" s="3">
        <f t="shared" si="0"/>
        <v>1177.8512368923853</v>
      </c>
      <c r="P20" s="3">
        <f t="shared" si="0"/>
        <v>1255.6825189642911</v>
      </c>
      <c r="Q20" s="4">
        <f t="shared" si="0"/>
        <v>1198.9330641738611</v>
      </c>
      <c r="R20" s="2">
        <f t="shared" si="0"/>
        <v>1233.8779358496315</v>
      </c>
      <c r="S20" s="3">
        <f t="shared" si="0"/>
        <v>1186.8875749711665</v>
      </c>
      <c r="T20" s="3">
        <f t="shared" si="0"/>
        <v>1180.0095274145622</v>
      </c>
      <c r="U20" s="3">
        <f t="shared" si="0"/>
        <v>1099.1361027087767</v>
      </c>
      <c r="V20" s="3">
        <f t="shared" si="0"/>
        <v>1102.7412268769331</v>
      </c>
      <c r="W20" s="3">
        <f t="shared" si="0"/>
        <v>997.56428086885717</v>
      </c>
      <c r="X20" s="3">
        <f t="shared" si="0"/>
        <v>1167.8495394172473</v>
      </c>
      <c r="Y20" s="3">
        <f t="shared" si="0"/>
        <v>1107.9441314692326</v>
      </c>
      <c r="Z20" s="3">
        <f t="shared" si="0"/>
        <v>1242.26552653301</v>
      </c>
      <c r="AA20" s="3">
        <f t="shared" si="0"/>
        <v>1180.4682840632574</v>
      </c>
      <c r="AB20" s="3">
        <f t="shared" si="0"/>
        <v>1226.0493212146532</v>
      </c>
      <c r="AC20" s="3">
        <f t="shared" si="0"/>
        <v>1206.5183336628868</v>
      </c>
      <c r="AD20" s="3">
        <f t="shared" si="0"/>
        <v>1203.5353438509753</v>
      </c>
      <c r="AE20" s="3">
        <f t="shared" si="0"/>
        <v>1182.195292761912</v>
      </c>
      <c r="AF20" s="3">
        <f t="shared" si="0"/>
        <v>1213.9658306519241</v>
      </c>
      <c r="AG20" s="3">
        <f t="shared" si="0"/>
        <v>1193.1441090752949</v>
      </c>
    </row>
    <row r="21" spans="1:33" x14ac:dyDescent="0.25">
      <c r="A21" s="2" t="s">
        <v>34</v>
      </c>
      <c r="B21" s="3">
        <f>_xlfn.STDEV.S(B4:B18)</f>
        <v>170.96285919520179</v>
      </c>
      <c r="C21" s="3">
        <f t="shared" ref="C21:AG21" si="1">_xlfn.STDEV.S(C4:C18)</f>
        <v>159.27528800771816</v>
      </c>
      <c r="D21" s="3">
        <f t="shared" si="1"/>
        <v>172.05658932109742</v>
      </c>
      <c r="E21" s="3">
        <f t="shared" si="1"/>
        <v>117.64705342104617</v>
      </c>
      <c r="F21" s="3">
        <f t="shared" si="1"/>
        <v>144.70668614287629</v>
      </c>
      <c r="G21" s="3">
        <f t="shared" si="1"/>
        <v>159.95275499328201</v>
      </c>
      <c r="H21" s="3">
        <f t="shared" si="1"/>
        <v>183.01933454943355</v>
      </c>
      <c r="I21" s="3">
        <f t="shared" si="1"/>
        <v>176.00510110243351</v>
      </c>
      <c r="J21" s="3">
        <f t="shared" si="1"/>
        <v>167.492878313733</v>
      </c>
      <c r="K21" s="3">
        <f t="shared" si="1"/>
        <v>160.94223476565162</v>
      </c>
      <c r="L21" s="3">
        <f t="shared" si="1"/>
        <v>141.69217713961959</v>
      </c>
      <c r="M21" s="3">
        <f t="shared" si="1"/>
        <v>126.40321811394487</v>
      </c>
      <c r="N21" s="3">
        <f t="shared" si="1"/>
        <v>121.82140200309398</v>
      </c>
      <c r="O21" s="3">
        <f t="shared" si="1"/>
        <v>145.68519772012888</v>
      </c>
      <c r="P21" s="3">
        <f t="shared" si="1"/>
        <v>142.10564736324011</v>
      </c>
      <c r="Q21" s="4">
        <f t="shared" si="1"/>
        <v>125.25729637763069</v>
      </c>
      <c r="R21" s="2">
        <f t="shared" si="1"/>
        <v>109.50561918917923</v>
      </c>
      <c r="S21" s="3">
        <f t="shared" si="1"/>
        <v>100.97959442327289</v>
      </c>
      <c r="T21" s="3">
        <f t="shared" si="1"/>
        <v>148.86337827374703</v>
      </c>
      <c r="U21" s="3">
        <f t="shared" si="1"/>
        <v>75.305281910780664</v>
      </c>
      <c r="V21" s="3">
        <f t="shared" si="1"/>
        <v>87.605691355699349</v>
      </c>
      <c r="W21" s="3">
        <f t="shared" si="1"/>
        <v>85.040041244285774</v>
      </c>
      <c r="X21" s="3">
        <f t="shared" si="1"/>
        <v>108.43646728038561</v>
      </c>
      <c r="Y21" s="3">
        <f t="shared" si="1"/>
        <v>92.782887453439216</v>
      </c>
      <c r="Z21" s="3">
        <f t="shared" si="1"/>
        <v>110.1475013021321</v>
      </c>
      <c r="AA21" s="3">
        <f t="shared" si="1"/>
        <v>92.750607544352363</v>
      </c>
      <c r="AB21" s="3">
        <f t="shared" si="1"/>
        <v>135.87102138390759</v>
      </c>
      <c r="AC21" s="3">
        <f t="shared" si="1"/>
        <v>122.56372334577391</v>
      </c>
      <c r="AD21" s="3">
        <f t="shared" si="1"/>
        <v>140.01976754846925</v>
      </c>
      <c r="AE21" s="3">
        <f t="shared" si="1"/>
        <v>130.78137094491294</v>
      </c>
      <c r="AF21" s="3">
        <f t="shared" si="1"/>
        <v>110.27723809933032</v>
      </c>
      <c r="AG21" s="3">
        <f t="shared" si="1"/>
        <v>124.60130431301721</v>
      </c>
    </row>
    <row r="22" spans="1:33" x14ac:dyDescent="0.25">
      <c r="A22" s="2" t="s">
        <v>35</v>
      </c>
      <c r="B22" s="3">
        <f>AVERAGE(B4:Q18)</f>
        <v>1238.8167326348134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1170.2595225868949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159.91102583842593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125.62696431034796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1267.7065435187114</v>
      </c>
      <c r="C26" s="2">
        <f>AVERAGE(C20,E20,G20,I20,K20,M20,O20,Q20)</f>
        <v>1209.9269217509168</v>
      </c>
      <c r="E26" s="2">
        <f>AVERAGE(D20,E20,F20,G20,H20,I20)</f>
        <v>1219.3757640589158</v>
      </c>
      <c r="F26" s="2">
        <f>AVERAGE(L20:Q20)</f>
        <v>1213.3883278140477</v>
      </c>
      <c r="G26" s="2">
        <f>AVERAGE(B20,C20,J20,K20)</f>
        <v>1306.1207927298115</v>
      </c>
      <c r="Q26" s="5"/>
      <c r="R26" s="2">
        <f>AVERAGE(R20,T20,V20,X20,Z20,AB20,AD20,AF20)</f>
        <v>1196.2867814761171</v>
      </c>
      <c r="S26" s="2">
        <f>AVERAGE(S20,U20,W20,Y20,AA20,AC20,AE20,AG20)</f>
        <v>1144.232263697673</v>
      </c>
      <c r="U26" s="2">
        <f>AVERAGE(T20:Y20)</f>
        <v>1109.2074681259348</v>
      </c>
      <c r="V26" s="2">
        <f>AVERAGE(AB20:AG20)</f>
        <v>1204.2347052029411</v>
      </c>
      <c r="W26" s="2">
        <f>AVERAGE(R20:S20,Z20:AA20)</f>
        <v>1210.8748303542664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2.0074788478047129E-2</v>
      </c>
      <c r="C28" s="3">
        <f t="shared" ref="C28:Q28" si="2">_xlfn.T.TEST(C4:C18,S4:S18,2,1)</f>
        <v>3.8186199419653179E-3</v>
      </c>
      <c r="D28" s="3">
        <f t="shared" si="2"/>
        <v>3.4233406480398709E-3</v>
      </c>
      <c r="E28" s="3">
        <f t="shared" si="2"/>
        <v>1.26816746786678E-3</v>
      </c>
      <c r="F28" s="3">
        <f t="shared" si="2"/>
        <v>4.1259751106487918E-3</v>
      </c>
      <c r="G28" s="3">
        <f t="shared" si="2"/>
        <v>6.4272705625648087E-3</v>
      </c>
      <c r="H28" s="3">
        <f t="shared" si="2"/>
        <v>7.0820743327878371E-4</v>
      </c>
      <c r="I28" s="3">
        <f t="shared" si="2"/>
        <v>1.7548439478570734E-2</v>
      </c>
      <c r="J28" s="3">
        <f t="shared" si="2"/>
        <v>0.11843774167372681</v>
      </c>
      <c r="K28" s="3">
        <f t="shared" si="2"/>
        <v>1.2918926163967837E-2</v>
      </c>
      <c r="L28" s="3">
        <f t="shared" si="2"/>
        <v>0.61629966995129037</v>
      </c>
      <c r="M28" s="3">
        <f t="shared" si="2"/>
        <v>0.53886324786344186</v>
      </c>
      <c r="N28" s="3">
        <f t="shared" si="2"/>
        <v>0.86300585862477208</v>
      </c>
      <c r="O28" s="3">
        <f t="shared" si="2"/>
        <v>0.91874394873655474</v>
      </c>
      <c r="P28" s="3">
        <f t="shared" si="2"/>
        <v>0.23444915719173795</v>
      </c>
      <c r="Q28" s="3">
        <f t="shared" si="2"/>
        <v>0.87123030168103943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8"/>
  <sheetViews>
    <sheetView workbookViewId="0">
      <selection activeCell="R27" sqref="R27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962.57212765465761</v>
      </c>
      <c r="C3">
        <v>927.23488840775929</v>
      </c>
      <c r="D3">
        <v>812.37257755039707</v>
      </c>
      <c r="E3">
        <v>949.22451361896947</v>
      </c>
      <c r="F3">
        <v>780.88311828960627</v>
      </c>
      <c r="G3">
        <v>871.03869300986912</v>
      </c>
      <c r="H3">
        <v>808.68727652244434</v>
      </c>
      <c r="I3">
        <v>868.8052663454539</v>
      </c>
      <c r="J3">
        <v>960.04091561694031</v>
      </c>
      <c r="K3">
        <v>825.83354739843912</v>
      </c>
      <c r="L3">
        <v>879.17940099818497</v>
      </c>
      <c r="M3">
        <v>865.46624985621838</v>
      </c>
      <c r="N3">
        <v>872.1843498483081</v>
      </c>
      <c r="O3">
        <v>853.140983648575</v>
      </c>
      <c r="P3">
        <v>896.44606288879834</v>
      </c>
      <c r="Q3">
        <v>905.66489854959195</v>
      </c>
      <c r="R3">
        <v>978.11210518678001</v>
      </c>
      <c r="S3">
        <v>937.95639470394849</v>
      </c>
      <c r="T3">
        <v>947.79586033829014</v>
      </c>
      <c r="U3">
        <v>853.40790084344735</v>
      </c>
      <c r="V3">
        <v>952.36482709394636</v>
      </c>
      <c r="W3">
        <v>904.40306336000913</v>
      </c>
      <c r="X3">
        <v>968.62037860599867</v>
      </c>
      <c r="Y3">
        <v>894.99113024568601</v>
      </c>
      <c r="Z3">
        <v>1025.7355382021631</v>
      </c>
      <c r="AA3">
        <v>976.28259060383243</v>
      </c>
      <c r="AB3">
        <v>1138.85721455775</v>
      </c>
      <c r="AC3">
        <v>948.22989449193346</v>
      </c>
      <c r="AD3">
        <v>940.28463402643399</v>
      </c>
      <c r="AE3">
        <v>823.5239062363928</v>
      </c>
      <c r="AF3">
        <v>1043.2186150226362</v>
      </c>
      <c r="AG3">
        <v>953.01727275974008</v>
      </c>
    </row>
    <row r="4" spans="1:33" x14ac:dyDescent="0.25">
      <c r="A4" t="s">
        <v>2</v>
      </c>
      <c r="B4">
        <v>1067.6446530729795</v>
      </c>
      <c r="C4">
        <v>1011.0574065623404</v>
      </c>
      <c r="D4">
        <v>954.06593835188448</v>
      </c>
      <c r="E4">
        <v>943.08699747507058</v>
      </c>
      <c r="F4">
        <v>961.39120066072815</v>
      </c>
      <c r="G4">
        <v>935.02921612241835</v>
      </c>
      <c r="H4">
        <v>988.62939303291591</v>
      </c>
      <c r="I4">
        <v>1048.5799614771167</v>
      </c>
      <c r="J4">
        <v>1074.7747302627176</v>
      </c>
      <c r="K4">
        <v>960.95666747745986</v>
      </c>
      <c r="L4">
        <v>989.87872301537345</v>
      </c>
      <c r="M4">
        <v>980.38268335871362</v>
      </c>
      <c r="N4">
        <v>932.65953101600542</v>
      </c>
      <c r="O4">
        <v>916.55529434438427</v>
      </c>
      <c r="P4">
        <v>1085.3932733261117</v>
      </c>
      <c r="Q4">
        <v>962.97794536802314</v>
      </c>
      <c r="R4">
        <v>1143.5667227479466</v>
      </c>
      <c r="S4">
        <v>1026.7163341280987</v>
      </c>
      <c r="T4">
        <v>1124.8826134747105</v>
      </c>
      <c r="U4">
        <v>1051.9201305866579</v>
      </c>
      <c r="V4">
        <v>1021.8332106771795</v>
      </c>
      <c r="W4">
        <v>890.14918210130145</v>
      </c>
      <c r="X4">
        <v>1113.6342473215705</v>
      </c>
      <c r="Y4">
        <v>1071.894308672398</v>
      </c>
      <c r="Z4">
        <v>1150.9554884292772</v>
      </c>
      <c r="AA4">
        <v>1128.4476433916623</v>
      </c>
      <c r="AB4">
        <v>1021.8530479359774</v>
      </c>
      <c r="AC4">
        <v>1063.3789167658283</v>
      </c>
      <c r="AD4">
        <v>980.14911098467769</v>
      </c>
      <c r="AE4">
        <v>1089.0346344642799</v>
      </c>
      <c r="AF4">
        <v>1088.0016260301313</v>
      </c>
      <c r="AG4">
        <v>1058.0462581761522</v>
      </c>
    </row>
    <row r="5" spans="1:33" x14ac:dyDescent="0.25">
      <c r="A5" t="s">
        <v>3</v>
      </c>
      <c r="B5">
        <v>1113.6708400945779</v>
      </c>
      <c r="C5">
        <v>1094.2296289213432</v>
      </c>
      <c r="D5">
        <v>978.43258733222797</v>
      </c>
      <c r="E5">
        <v>818.48548924205534</v>
      </c>
      <c r="F5">
        <v>912.89865185140923</v>
      </c>
      <c r="G5">
        <v>836.11162189129084</v>
      </c>
      <c r="H5">
        <v>953.95267277896937</v>
      </c>
      <c r="I5">
        <v>920.1886621371907</v>
      </c>
      <c r="J5">
        <v>1038.4177898049015</v>
      </c>
      <c r="K5">
        <v>984.74149146290233</v>
      </c>
      <c r="L5">
        <v>986.13295376607789</v>
      </c>
      <c r="M5">
        <v>912.80491433562088</v>
      </c>
      <c r="N5">
        <v>1042.4901349826457</v>
      </c>
      <c r="O5">
        <v>965.93124083038424</v>
      </c>
      <c r="P5">
        <v>978.54768307419522</v>
      </c>
      <c r="Q5">
        <v>967.82927585650418</v>
      </c>
      <c r="R5">
        <v>1185.6184687808473</v>
      </c>
      <c r="S5">
        <v>1070.509735346694</v>
      </c>
      <c r="T5">
        <v>1259.4191637900544</v>
      </c>
      <c r="U5">
        <v>979.85000156234628</v>
      </c>
      <c r="V5">
        <v>1143.1179760334671</v>
      </c>
      <c r="W5">
        <v>933.53434373225696</v>
      </c>
      <c r="X5">
        <v>1137.8288803501955</v>
      </c>
      <c r="Y5">
        <v>977.22286773114752</v>
      </c>
      <c r="Z5">
        <v>1095.461107715231</v>
      </c>
      <c r="AA5">
        <v>994.3295139002106</v>
      </c>
      <c r="AB5">
        <v>1065.8667518085581</v>
      </c>
      <c r="AC5">
        <v>1079.4872970806673</v>
      </c>
      <c r="AD5">
        <v>1209.2833841329991</v>
      </c>
      <c r="AE5">
        <v>1040.9277318443781</v>
      </c>
      <c r="AF5">
        <v>1014.1180884208075</v>
      </c>
      <c r="AG5">
        <v>1095.6639792325702</v>
      </c>
    </row>
    <row r="6" spans="1:33" x14ac:dyDescent="0.25">
      <c r="A6" t="s">
        <v>4</v>
      </c>
      <c r="B6">
        <v>992.69608636013811</v>
      </c>
      <c r="C6">
        <v>1027.0382297601238</v>
      </c>
      <c r="D6">
        <v>996.45271125655438</v>
      </c>
      <c r="E6">
        <v>1029.8191637288189</v>
      </c>
      <c r="F6">
        <v>1012.4134106553563</v>
      </c>
      <c r="G6">
        <v>931.12201861995027</v>
      </c>
      <c r="H6">
        <v>1038.1733960998006</v>
      </c>
      <c r="I6">
        <v>960.52499875587864</v>
      </c>
      <c r="J6">
        <v>1020.8962456451626</v>
      </c>
      <c r="K6">
        <v>1043.0729777830556</v>
      </c>
      <c r="L6">
        <v>1065.3394033758643</v>
      </c>
      <c r="M6">
        <v>1026.4497584882024</v>
      </c>
      <c r="N6">
        <v>1024.9153482535803</v>
      </c>
      <c r="O6">
        <v>973.27106408514419</v>
      </c>
      <c r="P6">
        <v>1024.0832102829681</v>
      </c>
      <c r="Q6">
        <v>973.34272289873729</v>
      </c>
      <c r="R6">
        <v>1091.4359417956</v>
      </c>
      <c r="S6">
        <v>1163.8207311414626</v>
      </c>
      <c r="T6">
        <v>1164.0388551953733</v>
      </c>
      <c r="U6">
        <v>1015.5908735284145</v>
      </c>
      <c r="V6">
        <v>1069.3765297558921</v>
      </c>
      <c r="W6">
        <v>949.80888350007558</v>
      </c>
      <c r="X6">
        <v>1144.291765469201</v>
      </c>
      <c r="Y6">
        <v>1039.8741856136912</v>
      </c>
      <c r="Z6">
        <v>1162.4674496698026</v>
      </c>
      <c r="AA6">
        <v>1117.6130606299764</v>
      </c>
      <c r="AB6">
        <v>1133.6482349423541</v>
      </c>
      <c r="AC6">
        <v>1084.5719867041903</v>
      </c>
      <c r="AD6">
        <v>1062.4631838323744</v>
      </c>
      <c r="AE6">
        <v>999.95424377811059</v>
      </c>
      <c r="AF6">
        <v>1043.4689222072336</v>
      </c>
      <c r="AG6">
        <v>1011.8361506191063</v>
      </c>
    </row>
    <row r="7" spans="1:33" x14ac:dyDescent="0.25">
      <c r="A7" t="s">
        <v>5</v>
      </c>
      <c r="B7">
        <v>1182.0068283259502</v>
      </c>
      <c r="C7">
        <v>1101.2901262584469</v>
      </c>
      <c r="D7">
        <v>1102.3954061564154</v>
      </c>
      <c r="E7">
        <v>1021.9054139460022</v>
      </c>
      <c r="F7">
        <v>1033.4474683018775</v>
      </c>
      <c r="G7">
        <v>985.77631630027736</v>
      </c>
      <c r="H7">
        <v>1086.0090772581698</v>
      </c>
      <c r="I7">
        <v>1018.2927573089542</v>
      </c>
      <c r="J7">
        <v>1155.9112302814747</v>
      </c>
      <c r="K7">
        <v>1115.2384193581329</v>
      </c>
      <c r="L7">
        <v>1136.3650109120917</v>
      </c>
      <c r="M7">
        <v>1099.9176326666848</v>
      </c>
      <c r="N7">
        <v>1070.2704811564618</v>
      </c>
      <c r="O7">
        <v>1151.9669900000079</v>
      </c>
      <c r="P7">
        <v>1081.9038108425043</v>
      </c>
      <c r="Q7">
        <v>1118.2284255929171</v>
      </c>
      <c r="R7">
        <v>1108.9978311774769</v>
      </c>
      <c r="S7">
        <v>1057.3030659758172</v>
      </c>
      <c r="T7">
        <v>1120.2613631795166</v>
      </c>
      <c r="U7">
        <v>1046.0520461031381</v>
      </c>
      <c r="V7">
        <v>1059.3863677644047</v>
      </c>
      <c r="W7">
        <v>905.89365517416218</v>
      </c>
      <c r="X7">
        <v>1144.1605840117918</v>
      </c>
      <c r="Y7">
        <v>1001.6526374838254</v>
      </c>
      <c r="Z7">
        <v>1250.5109753606316</v>
      </c>
      <c r="AA7">
        <v>1084.4785667186088</v>
      </c>
      <c r="AB7">
        <v>1223.3660039382667</v>
      </c>
      <c r="AC7">
        <v>1176.4462038002116</v>
      </c>
      <c r="AD7">
        <v>1265.4452949548302</v>
      </c>
      <c r="AE7">
        <v>1144.1572826425413</v>
      </c>
      <c r="AF7">
        <v>1154.1797124113632</v>
      </c>
      <c r="AG7">
        <v>1181.1758483129074</v>
      </c>
    </row>
    <row r="8" spans="1:33" x14ac:dyDescent="0.25">
      <c r="A8" t="s">
        <v>6</v>
      </c>
      <c r="B8">
        <v>962.83906147018183</v>
      </c>
      <c r="C8">
        <v>1007.2941446065774</v>
      </c>
      <c r="D8">
        <v>926.60362098154451</v>
      </c>
      <c r="E8">
        <v>884.55435506202366</v>
      </c>
      <c r="F8">
        <v>906.24421053398862</v>
      </c>
      <c r="G8">
        <v>872.24116501310698</v>
      </c>
      <c r="H8">
        <v>884.78941566290302</v>
      </c>
      <c r="I8">
        <v>942.57967438865069</v>
      </c>
      <c r="J8">
        <v>905.67152970639336</v>
      </c>
      <c r="K8">
        <v>942.83505026798571</v>
      </c>
      <c r="L8">
        <v>884.6775368000217</v>
      </c>
      <c r="M8">
        <v>889.89763780331043</v>
      </c>
      <c r="N8">
        <v>866.445136490393</v>
      </c>
      <c r="O8">
        <v>839.17910938665671</v>
      </c>
      <c r="P8">
        <v>971.46899588999213</v>
      </c>
      <c r="Q8">
        <v>861.96486335247596</v>
      </c>
      <c r="R8">
        <v>1250.6016885699682</v>
      </c>
      <c r="S8">
        <v>1243.8717742089839</v>
      </c>
      <c r="T8">
        <v>1123.6335799742428</v>
      </c>
      <c r="U8">
        <v>1059.1882542130541</v>
      </c>
      <c r="V8">
        <v>1094.447517210152</v>
      </c>
      <c r="W8">
        <v>1024.9777151759299</v>
      </c>
      <c r="X8">
        <v>1104.271542468751</v>
      </c>
      <c r="Y8">
        <v>1090.4937632717908</v>
      </c>
      <c r="Z8">
        <v>1274.5854216833591</v>
      </c>
      <c r="AA8">
        <v>1146.4717205826021</v>
      </c>
      <c r="AB8">
        <v>1401.3141927182867</v>
      </c>
      <c r="AC8">
        <v>1380.0549487150645</v>
      </c>
      <c r="AD8">
        <v>1373.090365804858</v>
      </c>
      <c r="AE8">
        <v>1448.4839538724143</v>
      </c>
      <c r="AF8">
        <v>1313.8243465968521</v>
      </c>
      <c r="AG8">
        <v>1379.1147157685887</v>
      </c>
    </row>
    <row r="9" spans="1:33" x14ac:dyDescent="0.25">
      <c r="A9" t="s">
        <v>7</v>
      </c>
      <c r="B9">
        <v>935.18861520806445</v>
      </c>
      <c r="C9">
        <v>925.50341430766491</v>
      </c>
      <c r="D9">
        <v>951.19032752797443</v>
      </c>
      <c r="E9">
        <v>879.72657480504688</v>
      </c>
      <c r="F9">
        <v>868.46008379924911</v>
      </c>
      <c r="G9">
        <v>863.53059473466533</v>
      </c>
      <c r="H9">
        <v>900.23711772896684</v>
      </c>
      <c r="I9">
        <v>846.20797788848483</v>
      </c>
      <c r="J9">
        <v>894.04964308142462</v>
      </c>
      <c r="K9">
        <v>903.71336075878503</v>
      </c>
      <c r="L9">
        <v>882.44218759426576</v>
      </c>
      <c r="M9">
        <v>911.97512245813527</v>
      </c>
      <c r="N9">
        <v>887.78933535877024</v>
      </c>
      <c r="O9">
        <v>868.47060399390477</v>
      </c>
      <c r="P9">
        <v>934.51739807469608</v>
      </c>
      <c r="Q9">
        <v>939.10734787637602</v>
      </c>
      <c r="R9">
        <v>997.77516761704476</v>
      </c>
      <c r="S9">
        <v>1090.0325402757196</v>
      </c>
      <c r="T9">
        <v>959.99085447805851</v>
      </c>
      <c r="U9">
        <v>948.94536037938008</v>
      </c>
      <c r="V9">
        <v>947.26644379260028</v>
      </c>
      <c r="W9">
        <v>931.90823502943226</v>
      </c>
      <c r="X9">
        <v>984.36161862294102</v>
      </c>
      <c r="Y9">
        <v>960.4405470293151</v>
      </c>
      <c r="Z9">
        <v>987.18897588309994</v>
      </c>
      <c r="AA9">
        <v>968.42426066582334</v>
      </c>
      <c r="AB9">
        <v>1012.3665498509439</v>
      </c>
      <c r="AC9">
        <v>1079.907734577399</v>
      </c>
      <c r="AD9">
        <v>1059.5990212858717</v>
      </c>
      <c r="AE9">
        <v>1030.4383252273808</v>
      </c>
      <c r="AF9">
        <v>1009.5224914110944</v>
      </c>
      <c r="AG9">
        <v>1051.8569323594973</v>
      </c>
    </row>
    <row r="10" spans="1:33" x14ac:dyDescent="0.25">
      <c r="A10" t="s">
        <v>8</v>
      </c>
      <c r="B10">
        <v>995.72395983508022</v>
      </c>
      <c r="C10">
        <v>984.52881048384779</v>
      </c>
      <c r="D10">
        <v>922.75516898219826</v>
      </c>
      <c r="E10">
        <v>891.52021740035377</v>
      </c>
      <c r="F10">
        <v>831.23318963922145</v>
      </c>
      <c r="G10">
        <v>832.15345736155496</v>
      </c>
      <c r="H10">
        <v>929.45339819809396</v>
      </c>
      <c r="I10">
        <v>909.41011516456365</v>
      </c>
      <c r="J10">
        <v>888.95861238700763</v>
      </c>
      <c r="K10">
        <v>899.7557971068743</v>
      </c>
      <c r="L10">
        <v>1042.0547532269129</v>
      </c>
      <c r="M10">
        <v>837.88635271642147</v>
      </c>
      <c r="N10">
        <v>969.24368562944164</v>
      </c>
      <c r="O10">
        <v>843.65755511990892</v>
      </c>
      <c r="P10">
        <v>955.8602225667546</v>
      </c>
      <c r="Q10">
        <v>1036.9069180400065</v>
      </c>
      <c r="R10">
        <v>976.44381306512844</v>
      </c>
      <c r="S10">
        <v>971.87829833093929</v>
      </c>
      <c r="T10">
        <v>934.10695003650153</v>
      </c>
      <c r="U10">
        <v>974.0070492236033</v>
      </c>
      <c r="V10">
        <v>911.22362723933065</v>
      </c>
      <c r="W10">
        <v>813.24911923846071</v>
      </c>
      <c r="X10">
        <v>1004.3053753744738</v>
      </c>
      <c r="Y10">
        <v>904.49348895371645</v>
      </c>
      <c r="Z10">
        <v>1202.4987027369498</v>
      </c>
      <c r="AA10">
        <v>1071.8651919219776</v>
      </c>
      <c r="AB10">
        <v>1056.1728212211817</v>
      </c>
      <c r="AC10">
        <v>1008.7001995308472</v>
      </c>
      <c r="AD10">
        <v>907.03119532624078</v>
      </c>
      <c r="AE10">
        <v>944.03347557776328</v>
      </c>
      <c r="AF10">
        <v>953.00949695961708</v>
      </c>
      <c r="AG10">
        <v>946.05916679539882</v>
      </c>
    </row>
    <row r="11" spans="1:33" x14ac:dyDescent="0.25">
      <c r="A11" t="s">
        <v>9</v>
      </c>
      <c r="B11">
        <v>1038.3403504290739</v>
      </c>
      <c r="C11">
        <v>1012.2628307717479</v>
      </c>
      <c r="D11">
        <v>988.62607771962166</v>
      </c>
      <c r="E11">
        <v>989.27814696367977</v>
      </c>
      <c r="F11">
        <v>890.88688106339123</v>
      </c>
      <c r="G11">
        <v>810.64529654503053</v>
      </c>
      <c r="H11">
        <v>1039.6018405527216</v>
      </c>
      <c r="I11">
        <v>924.04361652965156</v>
      </c>
      <c r="J11">
        <v>929.49613950849107</v>
      </c>
      <c r="K11">
        <v>914.6197886154805</v>
      </c>
      <c r="L11">
        <v>943.47796037852549</v>
      </c>
      <c r="M11">
        <v>964.96029615689235</v>
      </c>
      <c r="N11">
        <v>897.76728802749108</v>
      </c>
      <c r="O11">
        <v>858.59744241974977</v>
      </c>
      <c r="P11">
        <v>864.08837835726445</v>
      </c>
      <c r="Q11">
        <v>905.85604746072102</v>
      </c>
      <c r="R11">
        <v>1041.5745468454934</v>
      </c>
      <c r="S11">
        <v>1028.2070723182719</v>
      </c>
      <c r="T11">
        <v>981.76721140194093</v>
      </c>
      <c r="U11">
        <v>972.61073153084953</v>
      </c>
      <c r="V11">
        <v>907.05608770735523</v>
      </c>
      <c r="W11">
        <v>897.9699973037832</v>
      </c>
      <c r="X11">
        <v>1007.7185339571777</v>
      </c>
      <c r="Y11">
        <v>926.04170388881994</v>
      </c>
      <c r="Z11">
        <v>1049.0044910121071</v>
      </c>
      <c r="AA11">
        <v>973.20002061329342</v>
      </c>
      <c r="AB11">
        <v>989.35798622093307</v>
      </c>
      <c r="AC11">
        <v>984.37688666257372</v>
      </c>
      <c r="AD11">
        <v>1057.1967149466652</v>
      </c>
      <c r="AE11">
        <v>955.21555858502825</v>
      </c>
      <c r="AF11">
        <v>1070.8488440533247</v>
      </c>
      <c r="AG11">
        <v>1001.8143009340633</v>
      </c>
    </row>
    <row r="12" spans="1:33" x14ac:dyDescent="0.25">
      <c r="A12" t="s">
        <v>10</v>
      </c>
      <c r="B12">
        <v>995.56676433210419</v>
      </c>
      <c r="C12">
        <v>993.82342096278467</v>
      </c>
      <c r="D12">
        <v>942.42457425157704</v>
      </c>
      <c r="E12">
        <v>926.20893883620261</v>
      </c>
      <c r="F12">
        <v>947.55330191940902</v>
      </c>
      <c r="G12">
        <v>797.23718846958786</v>
      </c>
      <c r="H12">
        <v>985.3744891596001</v>
      </c>
      <c r="I12">
        <v>923.6465147108438</v>
      </c>
      <c r="J12">
        <v>1049.6443442163522</v>
      </c>
      <c r="K12">
        <v>1028.2317153368019</v>
      </c>
      <c r="L12">
        <v>1050.5619588572226</v>
      </c>
      <c r="M12">
        <v>979.86503962034078</v>
      </c>
      <c r="N12">
        <v>1072.758043004812</v>
      </c>
      <c r="O12">
        <v>1018.8538677176485</v>
      </c>
      <c r="P12">
        <v>943.72606798691015</v>
      </c>
      <c r="Q12">
        <v>940.70615351085894</v>
      </c>
      <c r="R12">
        <v>1023.5359557708434</v>
      </c>
      <c r="S12">
        <v>954.09911897418021</v>
      </c>
      <c r="T12">
        <v>918.88447760970575</v>
      </c>
      <c r="U12">
        <v>995.09661232138637</v>
      </c>
      <c r="V12">
        <v>988.09157502343294</v>
      </c>
      <c r="W12">
        <v>869.52533684504931</v>
      </c>
      <c r="X12">
        <v>935.46338052541228</v>
      </c>
      <c r="Y12">
        <v>944.83530784116078</v>
      </c>
      <c r="Z12">
        <v>1082.7600414284889</v>
      </c>
      <c r="AA12">
        <v>1093.7338295792747</v>
      </c>
      <c r="AB12">
        <v>1264.0653385518485</v>
      </c>
      <c r="AC12">
        <v>1225.8852052816455</v>
      </c>
      <c r="AD12">
        <v>1179.3013506618622</v>
      </c>
      <c r="AE12">
        <v>1134.6962995908998</v>
      </c>
      <c r="AF12">
        <v>1092.7715687978966</v>
      </c>
      <c r="AG12">
        <v>1031.3390041010803</v>
      </c>
    </row>
    <row r="13" spans="1:33" x14ac:dyDescent="0.25">
      <c r="A13" t="s">
        <v>11</v>
      </c>
      <c r="B13">
        <v>949.82451541461683</v>
      </c>
      <c r="C13">
        <v>949.99812585619179</v>
      </c>
      <c r="D13">
        <v>886.18578645549758</v>
      </c>
      <c r="E13">
        <v>879.09894721540559</v>
      </c>
      <c r="F13">
        <v>823.37373494182145</v>
      </c>
      <c r="G13">
        <v>762.21315068201261</v>
      </c>
      <c r="H13">
        <v>930.51392881705169</v>
      </c>
      <c r="I13">
        <v>822.36611107617159</v>
      </c>
      <c r="J13">
        <v>910.9987722817275</v>
      </c>
      <c r="K13">
        <v>883.95636934185472</v>
      </c>
      <c r="L13">
        <v>882.52895006229846</v>
      </c>
      <c r="M13">
        <v>844.70826536702361</v>
      </c>
      <c r="N13">
        <v>892.22071766215572</v>
      </c>
      <c r="O13">
        <v>799.97867146262865</v>
      </c>
      <c r="P13">
        <v>950.84074859269799</v>
      </c>
      <c r="Q13">
        <v>833.28131669387278</v>
      </c>
      <c r="R13">
        <v>963.76307789028215</v>
      </c>
      <c r="S13">
        <v>927.5768012869371</v>
      </c>
      <c r="T13">
        <v>839.46261529232117</v>
      </c>
      <c r="U13">
        <v>911.18325653138209</v>
      </c>
      <c r="V13">
        <v>943.86876298916138</v>
      </c>
      <c r="W13">
        <v>742.44787915485949</v>
      </c>
      <c r="X13">
        <v>908.6853560726538</v>
      </c>
      <c r="Y13">
        <v>867.91678035487837</v>
      </c>
      <c r="Z13">
        <v>927.15799424844613</v>
      </c>
      <c r="AA13">
        <v>909.1500696758103</v>
      </c>
      <c r="AB13">
        <v>999.03965842735613</v>
      </c>
      <c r="AC13">
        <v>958.08380057289605</v>
      </c>
      <c r="AD13">
        <v>953.66352331483574</v>
      </c>
      <c r="AE13">
        <v>974.95996732841218</v>
      </c>
      <c r="AF13">
        <v>1032.3759662590971</v>
      </c>
      <c r="AG13">
        <v>977.16235634595705</v>
      </c>
    </row>
    <row r="14" spans="1:33" x14ac:dyDescent="0.25">
      <c r="A14" t="s">
        <v>12</v>
      </c>
      <c r="B14">
        <v>1055.0021597157884</v>
      </c>
      <c r="C14">
        <v>1029.2910406812009</v>
      </c>
      <c r="D14">
        <v>1003.2493753329677</v>
      </c>
      <c r="E14">
        <v>936.11089918557218</v>
      </c>
      <c r="F14">
        <v>849.57851715564493</v>
      </c>
      <c r="G14">
        <v>797.32011009123289</v>
      </c>
      <c r="H14">
        <v>1041.3539579208878</v>
      </c>
      <c r="I14">
        <v>924.94472456829635</v>
      </c>
      <c r="J14">
        <v>1060.9900934720001</v>
      </c>
      <c r="K14">
        <v>1028.8355826685593</v>
      </c>
      <c r="L14">
        <v>1037.9476837883635</v>
      </c>
      <c r="M14">
        <v>951.80564802109052</v>
      </c>
      <c r="N14">
        <v>950.95480072508917</v>
      </c>
      <c r="O14">
        <v>993.51068328864881</v>
      </c>
      <c r="P14">
        <v>1000.7937795552457</v>
      </c>
      <c r="Q14">
        <v>869.37243878447975</v>
      </c>
      <c r="R14">
        <v>1113.2988152070016</v>
      </c>
      <c r="S14">
        <v>1092.7048751108935</v>
      </c>
      <c r="T14">
        <v>1152.307125267323</v>
      </c>
      <c r="U14">
        <v>960.24568675656383</v>
      </c>
      <c r="V14">
        <v>998.40785067606203</v>
      </c>
      <c r="W14">
        <v>840.43323721748686</v>
      </c>
      <c r="X14">
        <v>1043.6912292190473</v>
      </c>
      <c r="Y14">
        <v>1064.2659474306001</v>
      </c>
      <c r="Z14">
        <v>1171.9514075099285</v>
      </c>
      <c r="AA14">
        <v>1027.6140866807434</v>
      </c>
      <c r="AB14">
        <v>974.94239207922806</v>
      </c>
      <c r="AC14">
        <v>1034.1212876956361</v>
      </c>
      <c r="AD14">
        <v>956.32031329370261</v>
      </c>
      <c r="AE14">
        <v>1027.1785179525441</v>
      </c>
      <c r="AF14">
        <v>1056.9071351709968</v>
      </c>
      <c r="AG14">
        <v>1015.4496861058155</v>
      </c>
    </row>
    <row r="15" spans="1:33" x14ac:dyDescent="0.25">
      <c r="A15" t="s">
        <v>13</v>
      </c>
      <c r="B15">
        <v>1050.7915905860036</v>
      </c>
      <c r="C15">
        <v>1029.1743465462721</v>
      </c>
      <c r="D15">
        <v>1042.4784529146414</v>
      </c>
      <c r="E15">
        <v>1000.3919436741573</v>
      </c>
      <c r="F15">
        <v>964.02176294658489</v>
      </c>
      <c r="G15">
        <v>869.66917693873825</v>
      </c>
      <c r="H15">
        <v>1087.3083809183922</v>
      </c>
      <c r="I15">
        <v>943.16127019680243</v>
      </c>
      <c r="J15">
        <v>1069.2264524792431</v>
      </c>
      <c r="K15">
        <v>1028.8440396575731</v>
      </c>
      <c r="L15">
        <v>1026.3611078620224</v>
      </c>
      <c r="M15">
        <v>963.96601226176358</v>
      </c>
      <c r="N15">
        <v>1011.6002498703898</v>
      </c>
      <c r="O15">
        <v>1030.5426377555391</v>
      </c>
      <c r="P15">
        <v>955.97010948486582</v>
      </c>
      <c r="Q15">
        <v>969.03578704523477</v>
      </c>
      <c r="R15">
        <v>1137.0244947430544</v>
      </c>
      <c r="S15">
        <v>973.8099267322666</v>
      </c>
      <c r="T15">
        <v>1046.9261419758504</v>
      </c>
      <c r="U15">
        <v>967.36481171911862</v>
      </c>
      <c r="V15">
        <v>1001.2648443623987</v>
      </c>
      <c r="W15">
        <v>929.59070688786937</v>
      </c>
      <c r="X15">
        <v>1026.867980825604</v>
      </c>
      <c r="Y15">
        <v>975.82213082007695</v>
      </c>
      <c r="Z15">
        <v>1007.6061284111831</v>
      </c>
      <c r="AA15">
        <v>984.72753405979472</v>
      </c>
      <c r="AB15">
        <v>954.76917886815386</v>
      </c>
      <c r="AC15">
        <v>988.8391363842411</v>
      </c>
      <c r="AD15">
        <v>994.56657463634201</v>
      </c>
      <c r="AE15">
        <v>961.24672657978158</v>
      </c>
      <c r="AF15">
        <v>1016.567704714132</v>
      </c>
      <c r="AG15">
        <v>970.93201821082289</v>
      </c>
    </row>
    <row r="16" spans="1:33" x14ac:dyDescent="0.25">
      <c r="A16" t="s">
        <v>14</v>
      </c>
      <c r="B16">
        <v>1032.6174130101917</v>
      </c>
      <c r="C16">
        <v>1059.9543306193229</v>
      </c>
      <c r="D16">
        <v>1067.2143783701217</v>
      </c>
      <c r="E16">
        <v>989.2112614408627</v>
      </c>
      <c r="F16">
        <v>1000.2446664407022</v>
      </c>
      <c r="G16">
        <v>826.27769011283544</v>
      </c>
      <c r="H16">
        <v>1143.2098215295073</v>
      </c>
      <c r="I16">
        <v>829.20085760605571</v>
      </c>
      <c r="J16">
        <v>1097.3354349069805</v>
      </c>
      <c r="K16">
        <v>1036.5476738455668</v>
      </c>
      <c r="L16">
        <v>1092.985305189115</v>
      </c>
      <c r="M16">
        <v>1009.103234130554</v>
      </c>
      <c r="N16">
        <v>1070.8105822727237</v>
      </c>
      <c r="O16">
        <v>1040.1028187098418</v>
      </c>
      <c r="P16">
        <v>1014.9898820079889</v>
      </c>
      <c r="Q16">
        <v>1012.2175190652629</v>
      </c>
      <c r="R16">
        <v>1174.5840612150621</v>
      </c>
      <c r="S16">
        <v>1127.4973953387544</v>
      </c>
      <c r="T16">
        <v>1138.9668824648327</v>
      </c>
      <c r="U16">
        <v>1045.3667882608797</v>
      </c>
      <c r="V16">
        <v>1039.3325816129429</v>
      </c>
      <c r="W16">
        <v>951.62580636461462</v>
      </c>
      <c r="X16">
        <v>1082.7190392473958</v>
      </c>
      <c r="Y16">
        <v>1034.0604574507374</v>
      </c>
      <c r="Z16">
        <v>1133.8112146893568</v>
      </c>
      <c r="AA16">
        <v>1136.348546531565</v>
      </c>
      <c r="AB16">
        <v>1225.6721173734238</v>
      </c>
      <c r="AC16">
        <v>1148.1056003782314</v>
      </c>
      <c r="AD16">
        <v>1191.016609657946</v>
      </c>
      <c r="AE16">
        <v>1125.1526354659725</v>
      </c>
      <c r="AF16">
        <v>1265.5413177364833</v>
      </c>
      <c r="AG16">
        <v>1160.3559750174963</v>
      </c>
    </row>
    <row r="17" spans="1:33" x14ac:dyDescent="0.25">
      <c r="A17" t="s">
        <v>15</v>
      </c>
      <c r="B17">
        <v>1132.4852305320624</v>
      </c>
      <c r="C17">
        <v>1154.2432075498455</v>
      </c>
      <c r="D17">
        <v>1117.0759963791429</v>
      </c>
      <c r="E17">
        <v>983.0266752968987</v>
      </c>
      <c r="F17">
        <v>937.94340768381062</v>
      </c>
      <c r="G17">
        <v>957.92966908483754</v>
      </c>
      <c r="H17">
        <v>1154.6862451673046</v>
      </c>
      <c r="I17">
        <v>1125.4663117465266</v>
      </c>
      <c r="J17">
        <v>1123.3087981897463</v>
      </c>
      <c r="K17">
        <v>1082.689471313113</v>
      </c>
      <c r="L17">
        <v>977.58469932219077</v>
      </c>
      <c r="M17">
        <v>998.89074760646292</v>
      </c>
      <c r="N17">
        <v>994.77509586531346</v>
      </c>
      <c r="O17">
        <v>936.88485406311486</v>
      </c>
      <c r="P17">
        <v>1108.2858686873085</v>
      </c>
      <c r="Q17">
        <v>1022.2238088085186</v>
      </c>
      <c r="R17">
        <v>1278.425408547793</v>
      </c>
      <c r="S17">
        <v>1167.9881429366635</v>
      </c>
      <c r="T17">
        <v>1230.4719551203298</v>
      </c>
      <c r="U17">
        <v>993.59848687764838</v>
      </c>
      <c r="V17">
        <v>1102.9951776468445</v>
      </c>
      <c r="W17">
        <v>993.75022391894709</v>
      </c>
      <c r="X17">
        <v>1220.7960279245658</v>
      </c>
      <c r="Y17">
        <v>1171.7486078080792</v>
      </c>
      <c r="Z17">
        <v>1240.8345891592007</v>
      </c>
      <c r="AA17">
        <v>1226.7699275295872</v>
      </c>
      <c r="AB17">
        <v>1231.4501307576775</v>
      </c>
      <c r="AC17">
        <v>1201.4309512071632</v>
      </c>
      <c r="AD17">
        <v>1209.7897570349276</v>
      </c>
      <c r="AE17">
        <v>1260.8714087812357</v>
      </c>
      <c r="AF17">
        <v>1251.8089131550701</v>
      </c>
      <c r="AG17">
        <v>1201.7335108699754</v>
      </c>
    </row>
    <row r="18" spans="1:33" x14ac:dyDescent="0.25">
      <c r="A18" t="s">
        <v>16</v>
      </c>
      <c r="B18">
        <v>1031.1313464027648</v>
      </c>
      <c r="C18">
        <v>1020.4615968196978</v>
      </c>
      <c r="D18">
        <v>979.43486530418443</v>
      </c>
      <c r="E18">
        <v>941.4433025260746</v>
      </c>
      <c r="F18">
        <v>914.70490705885334</v>
      </c>
      <c r="G18">
        <v>863.21969099849389</v>
      </c>
      <c r="H18">
        <v>998.13202742318197</v>
      </c>
      <c r="I18">
        <v>933.82792132670932</v>
      </c>
      <c r="J18">
        <v>1011.9813821227041</v>
      </c>
      <c r="K18">
        <v>978.65813015950562</v>
      </c>
      <c r="L18">
        <v>991.83450900990204</v>
      </c>
      <c r="M18">
        <v>949.20530632316252</v>
      </c>
      <c r="N18">
        <v>970.45898534423873</v>
      </c>
      <c r="O18">
        <v>939.37625445507592</v>
      </c>
      <c r="P18">
        <v>984.46103277455359</v>
      </c>
      <c r="Q18">
        <v>954.58103126023866</v>
      </c>
      <c r="R18">
        <v>1097.6505399440214</v>
      </c>
      <c r="S18">
        <v>1055.5981471206421</v>
      </c>
      <c r="T18">
        <v>1062.8610433066035</v>
      </c>
      <c r="U18">
        <v>984.96186602919124</v>
      </c>
      <c r="V18">
        <v>1012.0022253056779</v>
      </c>
      <c r="W18">
        <v>905.28449233361584</v>
      </c>
      <c r="X18">
        <v>1055.1610626664519</v>
      </c>
      <c r="Y18">
        <v>995.05025763972833</v>
      </c>
      <c r="Z18">
        <v>1117.5019684092815</v>
      </c>
      <c r="AA18">
        <v>1055.9637708723176</v>
      </c>
      <c r="AB18">
        <v>1112.8494412834627</v>
      </c>
      <c r="AC18">
        <v>1090.7746699899021</v>
      </c>
      <c r="AD18">
        <v>1089.2800689263045</v>
      </c>
      <c r="AE18">
        <v>1063.9916445284757</v>
      </c>
      <c r="AF18">
        <v>1093.7443165964489</v>
      </c>
      <c r="AG18">
        <v>1069.0371450406114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1035.7019609859719</v>
      </c>
      <c r="C20" s="3">
        <f t="shared" ref="C20:AG20" si="0">AVERAGE(C4:C18)</f>
        <v>1026.6767107138271</v>
      </c>
      <c r="D20" s="3">
        <f t="shared" si="0"/>
        <v>990.57235115443689</v>
      </c>
      <c r="E20" s="3">
        <f t="shared" si="0"/>
        <v>940.92455511988169</v>
      </c>
      <c r="F20" s="3">
        <f t="shared" si="0"/>
        <v>923.62635964346975</v>
      </c>
      <c r="G20" s="3">
        <f t="shared" si="0"/>
        <v>862.69842419773556</v>
      </c>
      <c r="H20" s="3">
        <f t="shared" si="0"/>
        <v>1010.7616774832312</v>
      </c>
      <c r="I20" s="3">
        <f t="shared" si="0"/>
        <v>938.16276499212643</v>
      </c>
      <c r="J20" s="3">
        <f t="shared" si="0"/>
        <v>1015.444079889755</v>
      </c>
      <c r="K20" s="3">
        <f t="shared" si="0"/>
        <v>988.84643567691023</v>
      </c>
      <c r="L20" s="3">
        <f t="shared" si="0"/>
        <v>999.34484954401671</v>
      </c>
      <c r="M20" s="3">
        <f t="shared" si="0"/>
        <v>954.78791008762539</v>
      </c>
      <c r="N20" s="3">
        <f t="shared" si="0"/>
        <v>977.01062771063414</v>
      </c>
      <c r="O20" s="3">
        <f t="shared" si="0"/>
        <v>945.12527250884261</v>
      </c>
      <c r="P20" s="3">
        <f t="shared" si="0"/>
        <v>990.32869743360391</v>
      </c>
      <c r="Q20" s="4">
        <f t="shared" si="0"/>
        <v>957.84210677428177</v>
      </c>
      <c r="R20" s="2">
        <f t="shared" si="0"/>
        <v>1105.6197689278376</v>
      </c>
      <c r="S20" s="3">
        <f t="shared" si="0"/>
        <v>1063.4409306150883</v>
      </c>
      <c r="T20" s="3">
        <f t="shared" si="0"/>
        <v>1070.5320555044912</v>
      </c>
      <c r="U20" s="3">
        <f t="shared" si="0"/>
        <v>993.73213037490757</v>
      </c>
      <c r="V20" s="3">
        <f t="shared" si="0"/>
        <v>1015.9780518531267</v>
      </c>
      <c r="W20" s="3">
        <f t="shared" si="0"/>
        <v>905.34325426518967</v>
      </c>
      <c r="X20" s="3">
        <f t="shared" si="0"/>
        <v>1060.9304416038156</v>
      </c>
      <c r="Y20" s="3">
        <f t="shared" si="0"/>
        <v>1001.7208661326645</v>
      </c>
      <c r="Z20" s="3">
        <f t="shared" si="0"/>
        <v>1123.6197304230893</v>
      </c>
      <c r="AA20" s="3">
        <f t="shared" si="0"/>
        <v>1061.275849556883</v>
      </c>
      <c r="AB20" s="3">
        <f t="shared" si="0"/>
        <v>1111.1155897318436</v>
      </c>
      <c r="AC20" s="3">
        <f t="shared" si="0"/>
        <v>1100.2776550231001</v>
      </c>
      <c r="AD20" s="3">
        <f t="shared" si="0"/>
        <v>1099.2130979196293</v>
      </c>
      <c r="AE20" s="3">
        <f t="shared" si="0"/>
        <v>1080.0228270812813</v>
      </c>
      <c r="AF20" s="3">
        <f t="shared" si="0"/>
        <v>1097.1126967013699</v>
      </c>
      <c r="AG20" s="3">
        <f t="shared" si="0"/>
        <v>1076.7718031926697</v>
      </c>
    </row>
    <row r="21" spans="1:33" x14ac:dyDescent="0.25">
      <c r="A21" s="2" t="s">
        <v>34</v>
      </c>
      <c r="B21" s="3">
        <f>_xlfn.STDEV.S(B4:B18)</f>
        <v>68.844860844514244</v>
      </c>
      <c r="C21" s="3">
        <f t="shared" ref="C21:AG21" si="1">_xlfn.STDEV.S(C4:C18)</f>
        <v>58.163459792594047</v>
      </c>
      <c r="D21" s="3">
        <f t="shared" si="1"/>
        <v>66.727535836531587</v>
      </c>
      <c r="E21" s="3">
        <f t="shared" si="1"/>
        <v>61.447284605059025</v>
      </c>
      <c r="F21" s="3">
        <f t="shared" si="1"/>
        <v>64.548877224852177</v>
      </c>
      <c r="G21" s="3">
        <f t="shared" si="1"/>
        <v>64.699275410933041</v>
      </c>
      <c r="H21" s="3">
        <f t="shared" si="1"/>
        <v>83.646343483910286</v>
      </c>
      <c r="I21" s="3">
        <f t="shared" si="1"/>
        <v>80.058265831307779</v>
      </c>
      <c r="J21" s="3">
        <f t="shared" si="1"/>
        <v>88.39010648852198</v>
      </c>
      <c r="K21" s="3">
        <f t="shared" si="1"/>
        <v>70.437083218427802</v>
      </c>
      <c r="L21" s="3">
        <f t="shared" si="1"/>
        <v>76.970163805836279</v>
      </c>
      <c r="M21" s="3">
        <f t="shared" si="1"/>
        <v>68.761885850960823</v>
      </c>
      <c r="N21" s="3">
        <f t="shared" si="1"/>
        <v>71.294672001761853</v>
      </c>
      <c r="O21" s="3">
        <f t="shared" si="1"/>
        <v>94.479971491172421</v>
      </c>
      <c r="P21" s="3">
        <f t="shared" si="1"/>
        <v>64.848366687817347</v>
      </c>
      <c r="Q21" s="4">
        <f t="shared" si="1"/>
        <v>73.417070841585272</v>
      </c>
      <c r="R21" s="2">
        <f t="shared" si="1"/>
        <v>94.142163650148561</v>
      </c>
      <c r="S21" s="3">
        <f t="shared" si="1"/>
        <v>88.155557881142713</v>
      </c>
      <c r="T21" s="3">
        <f t="shared" si="1"/>
        <v>121.10691886635149</v>
      </c>
      <c r="U21" s="3">
        <f t="shared" si="1"/>
        <v>42.506399021265167</v>
      </c>
      <c r="V21" s="3">
        <f t="shared" si="1"/>
        <v>70.349416372941491</v>
      </c>
      <c r="W21" s="3">
        <f t="shared" si="1"/>
        <v>70.271837287808481</v>
      </c>
      <c r="X21" s="3">
        <f t="shared" si="1"/>
        <v>85.686135914148409</v>
      </c>
      <c r="Y21" s="3">
        <f t="shared" si="1"/>
        <v>79.042143284793369</v>
      </c>
      <c r="Z21" s="3">
        <f t="shared" si="1"/>
        <v>100.81328330779409</v>
      </c>
      <c r="AA21" s="3">
        <f t="shared" si="1"/>
        <v>84.809155127110003</v>
      </c>
      <c r="AB21" s="3">
        <f t="shared" si="1"/>
        <v>131.33434546691964</v>
      </c>
      <c r="AC21" s="3">
        <f t="shared" si="1"/>
        <v>111.40438680903257</v>
      </c>
      <c r="AD21" s="3">
        <f t="shared" si="1"/>
        <v>133.7039614929773</v>
      </c>
      <c r="AE21" s="3">
        <f t="shared" si="1"/>
        <v>133.72509445379006</v>
      </c>
      <c r="AF21" s="3">
        <f t="shared" si="1"/>
        <v>104.81993374927201</v>
      </c>
      <c r="AG21" s="3">
        <f t="shared" si="1"/>
        <v>113.44319609454126</v>
      </c>
    </row>
    <row r="22" spans="1:33" x14ac:dyDescent="0.25">
      <c r="A22" s="2" t="s">
        <v>35</v>
      </c>
      <c r="B22" s="3">
        <f>AVERAGE(B4:Q18)</f>
        <v>972.36592399477195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1060.4191718066866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82.806744006416494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112.05467460827577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992.84882548064002</v>
      </c>
      <c r="C26" s="2">
        <f>AVERAGE(C20,E20,G20,I20,K20,M20,O20,Q20)</f>
        <v>951.88302250890388</v>
      </c>
      <c r="E26" s="2">
        <f>AVERAGE(D20,E20,F20,G20,H20,I20)</f>
        <v>944.45768876514694</v>
      </c>
      <c r="F26" s="2">
        <f>AVERAGE(L20:Q20)</f>
        <v>970.7399106765007</v>
      </c>
      <c r="G26" s="2">
        <f>AVERAGE(B20,C20,J20,K20)</f>
        <v>1016.667296816616</v>
      </c>
      <c r="Q26" s="5"/>
      <c r="R26" s="2">
        <f>AVERAGE(R20,T20,V20,X20,Z20,AB20,AD20,AF20)</f>
        <v>1085.5151790831503</v>
      </c>
      <c r="S26" s="2">
        <f>AVERAGE(S20,U20,W20,Y20,AA20,AC20,AE20,AG20)</f>
        <v>1035.323164530223</v>
      </c>
      <c r="U26" s="2">
        <f>AVERAGE(T20:Y20)</f>
        <v>1008.0394666223659</v>
      </c>
      <c r="V26" s="2">
        <f>AVERAGE(AB20:AG20)</f>
        <v>1094.0856116083157</v>
      </c>
      <c r="W26" s="2">
        <f>AVERAGE(R20:S20,Z20:AA20)</f>
        <v>1088.4890698807246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5.8703067689577617E-3</v>
      </c>
      <c r="C28" s="3">
        <f t="shared" ref="C28:Q28" si="2">_xlfn.T.TEST(C4:C18,S4:S18,2,1)</f>
        <v>0.11383191685456123</v>
      </c>
      <c r="D28" s="3">
        <f t="shared" si="2"/>
        <v>6.1938359731454886E-3</v>
      </c>
      <c r="E28" s="3">
        <f t="shared" si="2"/>
        <v>4.6534097416260278E-3</v>
      </c>
      <c r="F28" s="3">
        <f t="shared" si="2"/>
        <v>7.603104181038792E-5</v>
      </c>
      <c r="G28" s="3">
        <f t="shared" si="2"/>
        <v>2.1240941826473344E-2</v>
      </c>
      <c r="H28" s="3">
        <f t="shared" si="2"/>
        <v>4.2475494142159669E-2</v>
      </c>
      <c r="I28" s="3">
        <f t="shared" si="2"/>
        <v>1.5815120959801919E-3</v>
      </c>
      <c r="J28" s="3">
        <f t="shared" si="2"/>
        <v>1.6813567729591771E-3</v>
      </c>
      <c r="K28" s="3">
        <f t="shared" si="2"/>
        <v>2.1425939893789572E-3</v>
      </c>
      <c r="L28" s="3">
        <f t="shared" si="2"/>
        <v>8.7668475206853294E-3</v>
      </c>
      <c r="M28" s="3">
        <f t="shared" si="2"/>
        <v>2.3680229211599008E-4</v>
      </c>
      <c r="N28" s="3">
        <f t="shared" si="2"/>
        <v>3.3143548551518888E-3</v>
      </c>
      <c r="O28" s="3">
        <f t="shared" si="2"/>
        <v>5.6065351560469047E-3</v>
      </c>
      <c r="P28" s="3">
        <f t="shared" si="2"/>
        <v>8.043503034971699E-4</v>
      </c>
      <c r="Q28" s="3">
        <f t="shared" si="2"/>
        <v>3.111357568922315E-3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47508.466265310206</v>
      </c>
      <c r="C3">
        <v>39925.891298261944</v>
      </c>
      <c r="D3">
        <v>38944.762600586619</v>
      </c>
      <c r="E3">
        <v>37603.639077530301</v>
      </c>
      <c r="F3">
        <v>38246.301465539254</v>
      </c>
      <c r="G3">
        <v>52537.406071458419</v>
      </c>
      <c r="H3">
        <v>74656.539141650574</v>
      </c>
      <c r="I3">
        <v>53736.270768579576</v>
      </c>
      <c r="J3">
        <v>59118.863520169492</v>
      </c>
      <c r="K3">
        <v>92898.064767561329</v>
      </c>
      <c r="L3">
        <v>60046.590327506085</v>
      </c>
      <c r="M3">
        <v>58493.622789057714</v>
      </c>
      <c r="N3">
        <v>44029.943990177075</v>
      </c>
      <c r="O3">
        <v>134475.75460284349</v>
      </c>
      <c r="P3">
        <v>222820.8936573668</v>
      </c>
      <c r="Q3">
        <v>31751.388110159987</v>
      </c>
      <c r="R3">
        <v>39507.990455348285</v>
      </c>
      <c r="S3">
        <v>48231.858745710095</v>
      </c>
      <c r="T3">
        <v>41087.404039206129</v>
      </c>
      <c r="U3">
        <v>33974.974023225339</v>
      </c>
      <c r="V3">
        <v>79572.4237303228</v>
      </c>
      <c r="W3">
        <v>32846.952036411094</v>
      </c>
      <c r="X3">
        <v>47610.518730493655</v>
      </c>
      <c r="Y3">
        <v>78644.635919144435</v>
      </c>
      <c r="Z3">
        <v>40895.213142861001</v>
      </c>
      <c r="AA3">
        <v>43387.136056902506</v>
      </c>
      <c r="AB3">
        <v>75346.132144486604</v>
      </c>
      <c r="AC3">
        <v>43588.4171274213</v>
      </c>
      <c r="AD3">
        <v>23298.6337996373</v>
      </c>
      <c r="AE3">
        <v>64719.251755567035</v>
      </c>
      <c r="AF3">
        <v>38998.878362693744</v>
      </c>
      <c r="AG3">
        <v>33320.15829277032</v>
      </c>
    </row>
    <row r="4" spans="1:33" x14ac:dyDescent="0.25">
      <c r="A4" t="s">
        <v>2</v>
      </c>
      <c r="B4">
        <v>28512.429500320926</v>
      </c>
      <c r="C4">
        <v>24842.590668050329</v>
      </c>
      <c r="D4">
        <v>25046.713134016136</v>
      </c>
      <c r="E4">
        <v>31086.572194606953</v>
      </c>
      <c r="F4">
        <v>35978.845802460906</v>
      </c>
      <c r="G4">
        <v>23459.157530541714</v>
      </c>
      <c r="H4">
        <v>30985.245069456883</v>
      </c>
      <c r="I4">
        <v>26853.704259216647</v>
      </c>
      <c r="J4">
        <v>27127.152502129306</v>
      </c>
      <c r="K4">
        <v>23905.592708555403</v>
      </c>
      <c r="L4">
        <v>22705.658267204853</v>
      </c>
      <c r="M4">
        <v>23080.279173555653</v>
      </c>
      <c r="N4">
        <v>27363.505628238592</v>
      </c>
      <c r="O4">
        <v>23026.279126690875</v>
      </c>
      <c r="P4">
        <v>34359.910651761755</v>
      </c>
      <c r="Q4">
        <v>32818.790724359933</v>
      </c>
      <c r="R4">
        <v>28365.44257694887</v>
      </c>
      <c r="S4">
        <v>39501.173880955459</v>
      </c>
      <c r="T4">
        <v>25808.840838400301</v>
      </c>
      <c r="U4">
        <v>32839.934140223057</v>
      </c>
      <c r="V4">
        <v>23920.663727902778</v>
      </c>
      <c r="W4">
        <v>36882.802743044114</v>
      </c>
      <c r="X4">
        <v>37458.829235486432</v>
      </c>
      <c r="Y4">
        <v>25652.645997574062</v>
      </c>
      <c r="Z4">
        <v>94808.194393160113</v>
      </c>
      <c r="AA4">
        <v>34216.903131004685</v>
      </c>
      <c r="AB4">
        <v>36768.869655860144</v>
      </c>
      <c r="AC4">
        <v>34722.426845254471</v>
      </c>
      <c r="AD4">
        <v>30361.633951035361</v>
      </c>
      <c r="AE4">
        <v>34519.65092036131</v>
      </c>
      <c r="AF4">
        <v>35172.3817057216</v>
      </c>
      <c r="AG4">
        <v>32761.892441825548</v>
      </c>
    </row>
    <row r="5" spans="1:33" x14ac:dyDescent="0.25">
      <c r="A5" t="s">
        <v>3</v>
      </c>
      <c r="B5">
        <v>28522.343595326303</v>
      </c>
      <c r="C5">
        <v>37836.018901170741</v>
      </c>
      <c r="D5">
        <v>38847.218425853913</v>
      </c>
      <c r="E5">
        <v>26253.281524632737</v>
      </c>
      <c r="F5">
        <v>40309.694144530935</v>
      </c>
      <c r="G5">
        <v>30269.59594377724</v>
      </c>
      <c r="H5">
        <v>42226.809787043894</v>
      </c>
      <c r="I5">
        <v>26947.580400061364</v>
      </c>
      <c r="J5">
        <v>24637.193743580439</v>
      </c>
      <c r="K5">
        <v>28847.45622677197</v>
      </c>
      <c r="L5">
        <v>31679.796026013282</v>
      </c>
      <c r="M5">
        <v>37449.394212959189</v>
      </c>
      <c r="N5">
        <v>58268.948013404617</v>
      </c>
      <c r="O5">
        <v>28324.415882500274</v>
      </c>
      <c r="P5">
        <v>26673.220667198977</v>
      </c>
      <c r="Q5">
        <v>24772.411959215638</v>
      </c>
      <c r="R5">
        <v>38312.701556054773</v>
      </c>
      <c r="S5">
        <v>24610.132713650892</v>
      </c>
      <c r="T5">
        <v>31157.759813078781</v>
      </c>
      <c r="U5">
        <v>55104.977640729056</v>
      </c>
      <c r="V5">
        <v>38428.888975229223</v>
      </c>
      <c r="W5">
        <v>33789.731034657991</v>
      </c>
      <c r="X5">
        <v>27683.371468651945</v>
      </c>
      <c r="Y5">
        <v>74350.10451846529</v>
      </c>
      <c r="Z5">
        <v>51178.980616187357</v>
      </c>
      <c r="AA5">
        <v>28010.813091205058</v>
      </c>
      <c r="AB5">
        <v>38856.655290745082</v>
      </c>
      <c r="AC5">
        <v>29669.221417201617</v>
      </c>
      <c r="AD5">
        <v>68228.497665601433</v>
      </c>
      <c r="AE5">
        <v>32370.156159223025</v>
      </c>
      <c r="AF5">
        <v>19877.570080644778</v>
      </c>
      <c r="AG5">
        <v>27246.844078654074</v>
      </c>
    </row>
    <row r="6" spans="1:33" x14ac:dyDescent="0.25">
      <c r="A6" t="s">
        <v>4</v>
      </c>
      <c r="B6">
        <v>28743.121262719807</v>
      </c>
      <c r="C6">
        <v>28871.456090759013</v>
      </c>
      <c r="D6">
        <v>28683.069594210661</v>
      </c>
      <c r="E6">
        <v>32303.78494273236</v>
      </c>
      <c r="F6">
        <v>38777.489936521641</v>
      </c>
      <c r="G6">
        <v>42148.274405681979</v>
      </c>
      <c r="H6">
        <v>29181.730821040324</v>
      </c>
      <c r="I6">
        <v>37557.465219693113</v>
      </c>
      <c r="J6">
        <v>32315.948941313967</v>
      </c>
      <c r="K6">
        <v>32096.513995109613</v>
      </c>
      <c r="L6">
        <v>42942.340898136812</v>
      </c>
      <c r="M6">
        <v>36183.159509519326</v>
      </c>
      <c r="N6">
        <v>48407.039084114222</v>
      </c>
      <c r="O6">
        <v>25851.977398346964</v>
      </c>
      <c r="P6">
        <v>29658.745091513862</v>
      </c>
      <c r="Q6">
        <v>55485.488799614905</v>
      </c>
      <c r="R6">
        <v>31425.301973603535</v>
      </c>
      <c r="S6">
        <v>30096.007175543498</v>
      </c>
      <c r="T6">
        <v>32218.866663302546</v>
      </c>
      <c r="U6">
        <v>27622.474356775951</v>
      </c>
      <c r="V6">
        <v>62575.331911134897</v>
      </c>
      <c r="W6">
        <v>25583.278356066541</v>
      </c>
      <c r="X6">
        <v>29998.125363627973</v>
      </c>
      <c r="Y6">
        <v>35636.543815353798</v>
      </c>
      <c r="Z6">
        <v>29592.313633179318</v>
      </c>
      <c r="AA6">
        <v>40342.803481257324</v>
      </c>
      <c r="AB6">
        <v>57543.713030930849</v>
      </c>
      <c r="AC6">
        <v>32012.457059551307</v>
      </c>
      <c r="AD6">
        <v>82666.026108504957</v>
      </c>
      <c r="AE6">
        <v>47419.516926425917</v>
      </c>
      <c r="AF6">
        <v>32684.623202911032</v>
      </c>
      <c r="AG6">
        <v>35514.001615025743</v>
      </c>
    </row>
    <row r="7" spans="1:33" x14ac:dyDescent="0.25">
      <c r="A7" t="s">
        <v>5</v>
      </c>
      <c r="B7">
        <v>39743.423903114752</v>
      </c>
      <c r="C7">
        <v>41044.619988539373</v>
      </c>
      <c r="D7">
        <v>52452.184353769633</v>
      </c>
      <c r="E7">
        <v>46820.31691182129</v>
      </c>
      <c r="F7">
        <v>32461.651917420182</v>
      </c>
      <c r="G7">
        <v>39143.135128222319</v>
      </c>
      <c r="H7">
        <v>39907.540873760641</v>
      </c>
      <c r="I7">
        <v>66046.425466505403</v>
      </c>
      <c r="J7">
        <v>39058.483540166126</v>
      </c>
      <c r="K7">
        <v>50237.066536377548</v>
      </c>
      <c r="L7">
        <v>33719.339734929032</v>
      </c>
      <c r="M7">
        <v>52709.326177388437</v>
      </c>
      <c r="N7">
        <v>48338.411159125986</v>
      </c>
      <c r="O7">
        <v>58613.37507599064</v>
      </c>
      <c r="P7">
        <v>54257.935575972399</v>
      </c>
      <c r="Q7">
        <v>42292.685378439339</v>
      </c>
      <c r="R7">
        <v>32345.490484619753</v>
      </c>
      <c r="S7">
        <v>29346.163517814748</v>
      </c>
      <c r="T7">
        <v>40675.408597238376</v>
      </c>
      <c r="U7">
        <v>35071.921689766859</v>
      </c>
      <c r="V7">
        <v>45203.328570914789</v>
      </c>
      <c r="W7">
        <v>39050.672335687799</v>
      </c>
      <c r="X7">
        <v>42361.494355581541</v>
      </c>
      <c r="Y7">
        <v>40544.7767714008</v>
      </c>
      <c r="Z7">
        <v>43634.02949814879</v>
      </c>
      <c r="AA7">
        <v>32392.290700935504</v>
      </c>
      <c r="AB7">
        <v>44245.273472076864</v>
      </c>
      <c r="AC7">
        <v>36676.878125087424</v>
      </c>
      <c r="AD7">
        <v>41928.287436986968</v>
      </c>
      <c r="AE7">
        <v>86733.979155806563</v>
      </c>
      <c r="AF7">
        <v>43354.804065188378</v>
      </c>
      <c r="AG7">
        <v>37573.819625292017</v>
      </c>
    </row>
    <row r="8" spans="1:33" x14ac:dyDescent="0.25">
      <c r="A8" t="s">
        <v>6</v>
      </c>
      <c r="B8">
        <v>53209.110832782855</v>
      </c>
      <c r="C8">
        <v>176847.28119063485</v>
      </c>
      <c r="D8">
        <v>114282.23005658183</v>
      </c>
      <c r="E8">
        <v>40555.176795223539</v>
      </c>
      <c r="F8">
        <v>40439.943314223812</v>
      </c>
      <c r="G8">
        <v>43145.417172606671</v>
      </c>
      <c r="H8">
        <v>44718.609504897409</v>
      </c>
      <c r="I8">
        <v>38858.586484258194</v>
      </c>
      <c r="J8">
        <v>51832.797289290116</v>
      </c>
      <c r="K8">
        <v>110936.36179483046</v>
      </c>
      <c r="L8">
        <v>37997.081201928493</v>
      </c>
      <c r="M8">
        <v>41754.5606219314</v>
      </c>
      <c r="N8">
        <v>43793.960003165783</v>
      </c>
      <c r="O8">
        <v>28573.092683879004</v>
      </c>
      <c r="P8">
        <v>46512.092934227447</v>
      </c>
      <c r="Q8">
        <v>59306.847621672379</v>
      </c>
      <c r="R8">
        <v>68541.385928124466</v>
      </c>
      <c r="S8">
        <v>29491.278154258656</v>
      </c>
      <c r="T8">
        <v>31571.819818382635</v>
      </c>
      <c r="U8">
        <v>37600.364552306157</v>
      </c>
      <c r="V8">
        <v>68509.491152979725</v>
      </c>
      <c r="W8">
        <v>30273.018357808596</v>
      </c>
      <c r="X8">
        <v>33728.249083618961</v>
      </c>
      <c r="Y8">
        <v>49112.880556985569</v>
      </c>
      <c r="Z8">
        <v>44920.327834725045</v>
      </c>
      <c r="AA8">
        <v>31545.01594326918</v>
      </c>
      <c r="AB8">
        <v>36677.195765215089</v>
      </c>
      <c r="AC8">
        <v>45965.454414101303</v>
      </c>
      <c r="AD8">
        <v>48054.761991208092</v>
      </c>
      <c r="AE8">
        <v>68660.747795468313</v>
      </c>
      <c r="AF8">
        <v>77883.073384611707</v>
      </c>
      <c r="AG8">
        <v>61029.125922524545</v>
      </c>
    </row>
    <row r="9" spans="1:33" x14ac:dyDescent="0.25">
      <c r="A9" t="s">
        <v>7</v>
      </c>
      <c r="B9">
        <v>40353.791041039913</v>
      </c>
      <c r="C9">
        <v>83399.907212891689</v>
      </c>
      <c r="D9">
        <v>35236.524429598394</v>
      </c>
      <c r="E9">
        <v>26973.683927875449</v>
      </c>
      <c r="F9">
        <v>31431.821275974995</v>
      </c>
      <c r="G9">
        <v>31941.556959476493</v>
      </c>
      <c r="H9">
        <v>36081.065309342572</v>
      </c>
      <c r="I9">
        <v>43414.809695724136</v>
      </c>
      <c r="J9">
        <v>33482.354568224619</v>
      </c>
      <c r="K9">
        <v>117365.09292640685</v>
      </c>
      <c r="L9">
        <v>41697.756648885072</v>
      </c>
      <c r="M9">
        <v>32592.782505808533</v>
      </c>
      <c r="N9">
        <v>58534.833786660587</v>
      </c>
      <c r="O9">
        <v>35720.537060720977</v>
      </c>
      <c r="P9">
        <v>29978.191377600881</v>
      </c>
      <c r="Q9">
        <v>60563.899185121336</v>
      </c>
      <c r="R9">
        <v>50335.906409771749</v>
      </c>
      <c r="S9">
        <v>41333.600908920955</v>
      </c>
      <c r="T9">
        <v>29374.061085616228</v>
      </c>
      <c r="U9">
        <v>31722.239618529995</v>
      </c>
      <c r="V9">
        <v>39927.233084813983</v>
      </c>
      <c r="W9">
        <v>34466.157240246954</v>
      </c>
      <c r="X9">
        <v>31106.870645776671</v>
      </c>
      <c r="Y9">
        <v>32407.916558308927</v>
      </c>
      <c r="Z9">
        <v>95208.232309048937</v>
      </c>
      <c r="AA9">
        <v>20227.766705982656</v>
      </c>
      <c r="AB9">
        <v>29334.929371401664</v>
      </c>
      <c r="AC9">
        <v>44973.999419226282</v>
      </c>
      <c r="AD9">
        <v>42151.373879700979</v>
      </c>
      <c r="AE9">
        <v>38879.725359107601</v>
      </c>
      <c r="AF9">
        <v>100022.3246504674</v>
      </c>
      <c r="AG9">
        <v>61325.723216106795</v>
      </c>
    </row>
    <row r="10" spans="1:33" x14ac:dyDescent="0.25">
      <c r="A10" t="s">
        <v>8</v>
      </c>
      <c r="B10">
        <v>68752.892112391521</v>
      </c>
      <c r="C10">
        <v>61718.36145417369</v>
      </c>
      <c r="D10">
        <v>32918.103795608586</v>
      </c>
      <c r="E10">
        <v>37013.936954879784</v>
      </c>
      <c r="F10">
        <v>39155.982592632914</v>
      </c>
      <c r="G10">
        <v>54703.781014239197</v>
      </c>
      <c r="H10">
        <v>41493.50474666286</v>
      </c>
      <c r="I10">
        <v>81127.055158946896</v>
      </c>
      <c r="J10">
        <v>53733.605535309223</v>
      </c>
      <c r="K10">
        <v>46076.103688460324</v>
      </c>
      <c r="L10">
        <v>55493.548566560545</v>
      </c>
      <c r="M10">
        <v>39878.757900067809</v>
      </c>
      <c r="N10">
        <v>102773.7477281707</v>
      </c>
      <c r="O10">
        <v>51630.432936939913</v>
      </c>
      <c r="P10">
        <v>33616.240982362724</v>
      </c>
      <c r="Q10">
        <v>94990.336677708314</v>
      </c>
      <c r="R10">
        <v>88911.951852662809</v>
      </c>
      <c r="S10">
        <v>170216.70902312739</v>
      </c>
      <c r="T10">
        <v>36028.844171485624</v>
      </c>
      <c r="U10">
        <v>198224.51351166298</v>
      </c>
      <c r="V10">
        <v>30026.931083728017</v>
      </c>
      <c r="W10">
        <v>54622.352083737031</v>
      </c>
      <c r="X10">
        <v>46035.588339401715</v>
      </c>
      <c r="Y10">
        <v>84637.263042510487</v>
      </c>
      <c r="Z10">
        <v>58027.071167862588</v>
      </c>
      <c r="AA10">
        <v>135540.78743462497</v>
      </c>
      <c r="AB10">
        <v>70897.662417028449</v>
      </c>
      <c r="AC10">
        <v>81774.441089148517</v>
      </c>
      <c r="AD10">
        <v>69299.973568814108</v>
      </c>
      <c r="AE10">
        <v>105334.65099712243</v>
      </c>
      <c r="AF10">
        <v>32403.794156311444</v>
      </c>
      <c r="AG10">
        <v>55386.806273360831</v>
      </c>
    </row>
    <row r="11" spans="1:33" x14ac:dyDescent="0.25">
      <c r="A11" t="s">
        <v>9</v>
      </c>
      <c r="B11">
        <v>17800.876098096283</v>
      </c>
      <c r="C11">
        <v>12515.275757640829</v>
      </c>
      <c r="D11">
        <v>17612.125049107748</v>
      </c>
      <c r="E11">
        <v>13814.63141316813</v>
      </c>
      <c r="F11">
        <v>16298.673579677274</v>
      </c>
      <c r="G11">
        <v>13671.503277085072</v>
      </c>
      <c r="H11">
        <v>22000.088471856125</v>
      </c>
      <c r="I11">
        <v>16258.669962073727</v>
      </c>
      <c r="J11">
        <v>17973.475656799488</v>
      </c>
      <c r="K11">
        <v>14251.4027986898</v>
      </c>
      <c r="L11">
        <v>13811.520586821513</v>
      </c>
      <c r="M11">
        <v>16701.638491062142</v>
      </c>
      <c r="N11">
        <v>13817.519993132179</v>
      </c>
      <c r="O11">
        <v>19048.661617533238</v>
      </c>
      <c r="P11">
        <v>18044.071603769225</v>
      </c>
      <c r="Q11">
        <v>13250.125431973916</v>
      </c>
      <c r="R11">
        <v>14930.890308562284</v>
      </c>
      <c r="S11">
        <v>16882.352253319808</v>
      </c>
      <c r="T11">
        <v>19084.987989166002</v>
      </c>
      <c r="U11">
        <v>15612.099592814153</v>
      </c>
      <c r="V11">
        <v>14625.296956290618</v>
      </c>
      <c r="W11">
        <v>14840.729815240622</v>
      </c>
      <c r="X11">
        <v>17377.34644301642</v>
      </c>
      <c r="Y11">
        <v>16785.681844910552</v>
      </c>
      <c r="Z11">
        <v>16091.607735778531</v>
      </c>
      <c r="AA11">
        <v>14453.106610717068</v>
      </c>
      <c r="AB11">
        <v>13683.990498141007</v>
      </c>
      <c r="AC11">
        <v>11440.965533597762</v>
      </c>
      <c r="AD11">
        <v>12077.646771969436</v>
      </c>
      <c r="AE11">
        <v>14383.955090151547</v>
      </c>
      <c r="AF11">
        <v>14895.670060292268</v>
      </c>
      <c r="AG11">
        <v>12377.797776489544</v>
      </c>
    </row>
    <row r="12" spans="1:33" x14ac:dyDescent="0.25">
      <c r="A12" t="s">
        <v>10</v>
      </c>
      <c r="B12">
        <v>25242.728713244724</v>
      </c>
      <c r="C12">
        <v>12935.510982796823</v>
      </c>
      <c r="D12">
        <v>19777.222862844395</v>
      </c>
      <c r="E12">
        <v>18391.213495705757</v>
      </c>
      <c r="F12">
        <v>18924.854440775896</v>
      </c>
      <c r="G12">
        <v>14321.784913148354</v>
      </c>
      <c r="H12">
        <v>25484.84451759186</v>
      </c>
      <c r="I12">
        <v>21278.994203393369</v>
      </c>
      <c r="J12">
        <v>21259.873944033934</v>
      </c>
      <c r="K12">
        <v>20276.540103144685</v>
      </c>
      <c r="L12">
        <v>21983.993253082244</v>
      </c>
      <c r="M12">
        <v>15844.996861149401</v>
      </c>
      <c r="N12">
        <v>15185.835599560349</v>
      </c>
      <c r="O12">
        <v>18974.890253711244</v>
      </c>
      <c r="P12">
        <v>15051.127763935378</v>
      </c>
      <c r="Q12">
        <v>21155.418467515985</v>
      </c>
      <c r="R12">
        <v>14066.406212571826</v>
      </c>
      <c r="S12">
        <v>15975.56476200894</v>
      </c>
      <c r="T12">
        <v>15542.023855314648</v>
      </c>
      <c r="U12">
        <v>14955.842616628946</v>
      </c>
      <c r="V12">
        <v>14295.689744877593</v>
      </c>
      <c r="W12">
        <v>12204.40016400543</v>
      </c>
      <c r="X12">
        <v>12758.637348051408</v>
      </c>
      <c r="Y12">
        <v>16348.636165551961</v>
      </c>
      <c r="Z12">
        <v>19509.690193735405</v>
      </c>
      <c r="AA12">
        <v>17457.727625029012</v>
      </c>
      <c r="AB12">
        <v>18074.710646449421</v>
      </c>
      <c r="AC12">
        <v>15825.169541069186</v>
      </c>
      <c r="AD12">
        <v>17049.566252623397</v>
      </c>
      <c r="AE12">
        <v>15683.284156520316</v>
      </c>
      <c r="AF12">
        <v>20327.45964687255</v>
      </c>
      <c r="AG12">
        <v>21841.280212451999</v>
      </c>
    </row>
    <row r="13" spans="1:33" x14ac:dyDescent="0.25">
      <c r="A13" t="s">
        <v>11</v>
      </c>
      <c r="B13">
        <v>14355.400764506747</v>
      </c>
      <c r="C13">
        <v>13788.000949200337</v>
      </c>
      <c r="D13">
        <v>15548.568412741179</v>
      </c>
      <c r="E13">
        <v>15668.038908472501</v>
      </c>
      <c r="F13">
        <v>11422.760569649741</v>
      </c>
      <c r="G13">
        <v>13319.044427683508</v>
      </c>
      <c r="H13">
        <v>17351.021919992596</v>
      </c>
      <c r="I13">
        <v>11327.018963828577</v>
      </c>
      <c r="J13">
        <v>15704.168102655076</v>
      </c>
      <c r="K13">
        <v>13849.008824796339</v>
      </c>
      <c r="L13">
        <v>12647.777704015769</v>
      </c>
      <c r="M13">
        <v>14216.905454278232</v>
      </c>
      <c r="N13">
        <v>10909.89741381611</v>
      </c>
      <c r="O13">
        <v>14160.899236004438</v>
      </c>
      <c r="P13">
        <v>12214.9279707774</v>
      </c>
      <c r="Q13">
        <v>11124.62845209262</v>
      </c>
      <c r="R13">
        <v>14028.134084714646</v>
      </c>
      <c r="S13">
        <v>12464.470002582973</v>
      </c>
      <c r="T13">
        <v>14031.619153095002</v>
      </c>
      <c r="U13">
        <v>12428.70579494059</v>
      </c>
      <c r="V13">
        <v>14609.933063435255</v>
      </c>
      <c r="W13">
        <v>10678.325560205596</v>
      </c>
      <c r="X13">
        <v>11559.875153780522</v>
      </c>
      <c r="Y13">
        <v>12313.708301211915</v>
      </c>
      <c r="Z13">
        <v>17108.887036320171</v>
      </c>
      <c r="AA13">
        <v>13809.18516914783</v>
      </c>
      <c r="AB13">
        <v>13816.410247874512</v>
      </c>
      <c r="AC13">
        <v>14831.850917228738</v>
      </c>
      <c r="AD13">
        <v>13531.187957167314</v>
      </c>
      <c r="AE13">
        <v>17897.090810614369</v>
      </c>
      <c r="AF13">
        <v>12777.058391077109</v>
      </c>
      <c r="AG13">
        <v>12387.745522691393</v>
      </c>
    </row>
    <row r="14" spans="1:33" x14ac:dyDescent="0.25">
      <c r="A14" t="s">
        <v>12</v>
      </c>
      <c r="B14">
        <v>18125.213032304186</v>
      </c>
      <c r="C14">
        <v>16471.819517318552</v>
      </c>
      <c r="D14">
        <v>19519.342656802175</v>
      </c>
      <c r="E14">
        <v>14470.030103782348</v>
      </c>
      <c r="F14">
        <v>15006.087490404116</v>
      </c>
      <c r="G14">
        <v>15721.096349135219</v>
      </c>
      <c r="H14">
        <v>21842.226662194364</v>
      </c>
      <c r="I14">
        <v>17962.110123534731</v>
      </c>
      <c r="J14">
        <v>19146.106090688321</v>
      </c>
      <c r="K14">
        <v>19230.651369018575</v>
      </c>
      <c r="L14">
        <v>15143.24257279365</v>
      </c>
      <c r="M14">
        <v>13938.385289546055</v>
      </c>
      <c r="N14">
        <v>14466.202359447379</v>
      </c>
      <c r="O14">
        <v>15047.860786857305</v>
      </c>
      <c r="P14">
        <v>15052.045529395142</v>
      </c>
      <c r="Q14">
        <v>12397.00625566587</v>
      </c>
      <c r="R14">
        <v>14278.798273633562</v>
      </c>
      <c r="S14">
        <v>13482.554918636535</v>
      </c>
      <c r="T14">
        <v>15196.263890108792</v>
      </c>
      <c r="U14">
        <v>11468.907422061693</v>
      </c>
      <c r="V14">
        <v>9205.2480367555108</v>
      </c>
      <c r="W14">
        <v>10499.14535454096</v>
      </c>
      <c r="X14">
        <v>10734.178914105041</v>
      </c>
      <c r="Y14">
        <v>11582.538764150759</v>
      </c>
      <c r="Z14">
        <v>11580.96444069692</v>
      </c>
      <c r="AA14">
        <v>11624.97562803964</v>
      </c>
      <c r="AB14">
        <v>11553.521752240238</v>
      </c>
      <c r="AC14">
        <v>12201.230681765943</v>
      </c>
      <c r="AD14">
        <v>11139.970308478521</v>
      </c>
      <c r="AE14">
        <v>11474.272829302749</v>
      </c>
      <c r="AF14">
        <v>13506.046666408416</v>
      </c>
      <c r="AG14">
        <v>11929.615521314687</v>
      </c>
    </row>
    <row r="15" spans="1:33" x14ac:dyDescent="0.25">
      <c r="A15" t="s">
        <v>13</v>
      </c>
      <c r="B15">
        <v>14815.461869561001</v>
      </c>
      <c r="C15">
        <v>13378.642069720305</v>
      </c>
      <c r="D15">
        <v>15199.574713051961</v>
      </c>
      <c r="E15">
        <v>13631.401402530777</v>
      </c>
      <c r="F15">
        <v>13208.524268934361</v>
      </c>
      <c r="G15">
        <v>11090.854258290938</v>
      </c>
      <c r="H15">
        <v>19727.243782067213</v>
      </c>
      <c r="I15">
        <v>12263.512174493429</v>
      </c>
      <c r="J15">
        <v>12995.276730478588</v>
      </c>
      <c r="K15">
        <v>12663.495429565282</v>
      </c>
      <c r="L15">
        <v>12943.921155510368</v>
      </c>
      <c r="M15">
        <v>12069.107937425864</v>
      </c>
      <c r="N15">
        <v>11799.350883824995</v>
      </c>
      <c r="O15">
        <v>10475.823229390535</v>
      </c>
      <c r="P15">
        <v>12234.054149362822</v>
      </c>
      <c r="Q15">
        <v>11644.050986397775</v>
      </c>
      <c r="R15">
        <v>15136.513520560635</v>
      </c>
      <c r="S15">
        <v>12344.061742159131</v>
      </c>
      <c r="T15">
        <v>12847.957341258345</v>
      </c>
      <c r="U15">
        <v>12326.359178004146</v>
      </c>
      <c r="V15">
        <v>12174.916471663322</v>
      </c>
      <c r="W15">
        <v>9636.9199256232096</v>
      </c>
      <c r="X15">
        <v>13261.51521261032</v>
      </c>
      <c r="Y15">
        <v>11398.149480278145</v>
      </c>
      <c r="Z15">
        <v>11690.996984508485</v>
      </c>
      <c r="AA15">
        <v>14242.096000212352</v>
      </c>
      <c r="AB15">
        <v>12117.962733806726</v>
      </c>
      <c r="AC15">
        <v>10656.535649969563</v>
      </c>
      <c r="AD15">
        <v>10733.651825558431</v>
      </c>
      <c r="AE15">
        <v>12324.221873274924</v>
      </c>
      <c r="AF15">
        <v>12214.680158345411</v>
      </c>
      <c r="AG15">
        <v>11753.351487071828</v>
      </c>
    </row>
    <row r="16" spans="1:33" x14ac:dyDescent="0.25">
      <c r="A16" t="s">
        <v>14</v>
      </c>
      <c r="B16">
        <v>46239.267784465032</v>
      </c>
      <c r="C16">
        <v>89761.582026203134</v>
      </c>
      <c r="D16">
        <v>59495.618343092283</v>
      </c>
      <c r="E16">
        <v>45564.020360655559</v>
      </c>
      <c r="F16">
        <v>38030.220580546869</v>
      </c>
      <c r="G16">
        <v>40322.965531832378</v>
      </c>
      <c r="H16">
        <v>39308.443717976785</v>
      </c>
      <c r="I16">
        <v>42756.864306911019</v>
      </c>
      <c r="J16">
        <v>46879.866623088965</v>
      </c>
      <c r="K16">
        <v>34576.310068893668</v>
      </c>
      <c r="L16">
        <v>31711.076314057464</v>
      </c>
      <c r="M16">
        <v>37363.400509316707</v>
      </c>
      <c r="N16">
        <v>35791.509631325302</v>
      </c>
      <c r="O16">
        <v>79877.081212965597</v>
      </c>
      <c r="P16">
        <v>37779.061150271606</v>
      </c>
      <c r="Q16">
        <v>42986.066967171151</v>
      </c>
      <c r="R16">
        <v>31353.11604063792</v>
      </c>
      <c r="S16">
        <v>28945.213504419531</v>
      </c>
      <c r="T16">
        <v>30579.58525487109</v>
      </c>
      <c r="U16">
        <v>35747.758895152285</v>
      </c>
      <c r="V16">
        <v>31897.750000867447</v>
      </c>
      <c r="W16">
        <v>29366.591143043886</v>
      </c>
      <c r="X16">
        <v>30103.582254206656</v>
      </c>
      <c r="Y16">
        <v>28900.70422179922</v>
      </c>
      <c r="Z16">
        <v>25362.558874620216</v>
      </c>
      <c r="AA16">
        <v>22537.00113120575</v>
      </c>
      <c r="AB16">
        <v>27575.179624703218</v>
      </c>
      <c r="AC16">
        <v>25313.909952652459</v>
      </c>
      <c r="AD16">
        <v>29105.833711617775</v>
      </c>
      <c r="AE16">
        <v>27255.303606454865</v>
      </c>
      <c r="AF16">
        <v>27154.434215969937</v>
      </c>
      <c r="AG16">
        <v>23749.330434413485</v>
      </c>
    </row>
    <row r="17" spans="1:33" x14ac:dyDescent="0.25">
      <c r="A17" t="s">
        <v>15</v>
      </c>
      <c r="B17">
        <v>28327.220343088731</v>
      </c>
      <c r="C17">
        <v>32927.618948560339</v>
      </c>
      <c r="D17">
        <v>33747.980830652217</v>
      </c>
      <c r="E17">
        <v>30211.320265608618</v>
      </c>
      <c r="F17">
        <v>21851.489521729098</v>
      </c>
      <c r="G17">
        <v>40547.603954306454</v>
      </c>
      <c r="H17">
        <v>31320.66369357246</v>
      </c>
      <c r="I17">
        <v>28906.199118751203</v>
      </c>
      <c r="J17">
        <v>30641.498016276149</v>
      </c>
      <c r="K17">
        <v>29852.732787767993</v>
      </c>
      <c r="L17">
        <v>30389.763547078932</v>
      </c>
      <c r="M17">
        <v>26297.647525945074</v>
      </c>
      <c r="N17">
        <v>28812.862760135722</v>
      </c>
      <c r="O17">
        <v>23016.109748914758</v>
      </c>
      <c r="P17">
        <v>32928.35864208229</v>
      </c>
      <c r="Q17">
        <v>31201.783585735673</v>
      </c>
      <c r="R17">
        <v>18876.413658171638</v>
      </c>
      <c r="S17">
        <v>21799.522277032243</v>
      </c>
      <c r="T17">
        <v>20502.25882523683</v>
      </c>
      <c r="U17">
        <v>16802.928309788582</v>
      </c>
      <c r="V17">
        <v>12089.130762861243</v>
      </c>
      <c r="W17">
        <v>24400.384533053952</v>
      </c>
      <c r="X17">
        <v>19284.246287742943</v>
      </c>
      <c r="Y17">
        <v>15868.185380990199</v>
      </c>
      <c r="Z17">
        <v>20047.362696803419</v>
      </c>
      <c r="AA17">
        <v>14667.711501237871</v>
      </c>
      <c r="AB17">
        <v>20176.6219732307</v>
      </c>
      <c r="AC17">
        <v>26859.105276737995</v>
      </c>
      <c r="AD17">
        <v>20548.545944316757</v>
      </c>
      <c r="AE17">
        <v>29813.072603347144</v>
      </c>
      <c r="AF17">
        <v>16487.635160800419</v>
      </c>
      <c r="AG17">
        <v>15029.177880142212</v>
      </c>
    </row>
    <row r="18" spans="1:33" x14ac:dyDescent="0.25">
      <c r="A18" t="s">
        <v>16</v>
      </c>
      <c r="B18">
        <v>33350.116474551534</v>
      </c>
      <c r="C18">
        <v>45750.971803728127</v>
      </c>
      <c r="D18">
        <v>36487.415950567847</v>
      </c>
      <c r="E18">
        <v>28690.736551948408</v>
      </c>
      <c r="F18">
        <v>28769.622726734804</v>
      </c>
      <c r="G18">
        <v>31089.545129165734</v>
      </c>
      <c r="H18">
        <v>34419.038534607105</v>
      </c>
      <c r="I18">
        <v>35019.684420398087</v>
      </c>
      <c r="J18">
        <v>32393.77765361359</v>
      </c>
      <c r="K18">
        <v>43137.492935063325</v>
      </c>
      <c r="L18">
        <v>30994.22712030161</v>
      </c>
      <c r="M18">
        <v>30571.597663934099</v>
      </c>
      <c r="N18">
        <v>37486.2378689533</v>
      </c>
      <c r="O18">
        <v>37787.812723552612</v>
      </c>
      <c r="P18">
        <v>41412.058516506579</v>
      </c>
      <c r="Q18">
        <v>36382.728573522989</v>
      </c>
      <c r="R18">
        <v>33361.096222399123</v>
      </c>
      <c r="S18">
        <v>35648.044238676062</v>
      </c>
      <c r="T18">
        <v>26380.513422384091</v>
      </c>
      <c r="U18">
        <v>38100.266756173995</v>
      </c>
      <c r="V18">
        <v>33137.483818251822</v>
      </c>
      <c r="W18">
        <v>26609.430712224919</v>
      </c>
      <c r="X18">
        <v>27404.161922410145</v>
      </c>
      <c r="Y18">
        <v>35612.291422575741</v>
      </c>
      <c r="Z18">
        <v>38643.762037175751</v>
      </c>
      <c r="AA18">
        <v>31630.354680718094</v>
      </c>
      <c r="AB18">
        <v>33777.921908279372</v>
      </c>
      <c r="AC18">
        <v>31100.804203334257</v>
      </c>
      <c r="AD18">
        <v>34678.372744881395</v>
      </c>
      <c r="AE18">
        <v>40497.92533591653</v>
      </c>
      <c r="AF18">
        <v>33184.028927221079</v>
      </c>
      <c r="AG18">
        <v>30215.111353342341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32406.226488500957</v>
      </c>
      <c r="C20" s="3">
        <f t="shared" ref="C20:AG20" si="0">AVERAGE(C4:C18)</f>
        <v>46139.310504092551</v>
      </c>
      <c r="D20" s="3">
        <f t="shared" si="0"/>
        <v>36323.592840566598</v>
      </c>
      <c r="E20" s="3">
        <f t="shared" si="0"/>
        <v>28096.543050242948</v>
      </c>
      <c r="F20" s="3">
        <f t="shared" si="0"/>
        <v>28137.844144147839</v>
      </c>
      <c r="G20" s="3">
        <f t="shared" si="0"/>
        <v>29659.687733012888</v>
      </c>
      <c r="H20" s="3">
        <f t="shared" si="0"/>
        <v>31736.538494137541</v>
      </c>
      <c r="I20" s="3">
        <f t="shared" si="0"/>
        <v>33771.911997185991</v>
      </c>
      <c r="J20" s="3">
        <f t="shared" si="0"/>
        <v>30612.10526250986</v>
      </c>
      <c r="K20" s="3">
        <f t="shared" si="0"/>
        <v>39820.121479563459</v>
      </c>
      <c r="L20" s="3">
        <f t="shared" si="0"/>
        <v>29057.40290648798</v>
      </c>
      <c r="M20" s="3">
        <f t="shared" si="0"/>
        <v>28710.129322259196</v>
      </c>
      <c r="N20" s="3">
        <f t="shared" si="0"/>
        <v>37049.990794205056</v>
      </c>
      <c r="O20" s="3">
        <f t="shared" si="0"/>
        <v>31341.949931599895</v>
      </c>
      <c r="P20" s="3">
        <f t="shared" si="0"/>
        <v>29318.136173782568</v>
      </c>
      <c r="Q20" s="4">
        <f t="shared" si="0"/>
        <v>36691.484604413847</v>
      </c>
      <c r="R20" s="2">
        <f t="shared" si="0"/>
        <v>32951.303273535843</v>
      </c>
      <c r="S20" s="3">
        <f t="shared" si="0"/>
        <v>34809.123271540462</v>
      </c>
      <c r="T20" s="3">
        <f t="shared" si="0"/>
        <v>25400.05404792929</v>
      </c>
      <c r="U20" s="3">
        <f t="shared" si="0"/>
        <v>38375.286271703902</v>
      </c>
      <c r="V20" s="3">
        <f t="shared" si="0"/>
        <v>30041.821157447081</v>
      </c>
      <c r="W20" s="3">
        <f t="shared" si="0"/>
        <v>26193.595957279173</v>
      </c>
      <c r="X20" s="3">
        <f t="shared" si="0"/>
        <v>26057.07146853791</v>
      </c>
      <c r="Y20" s="3">
        <f t="shared" si="0"/>
        <v>32743.468456137824</v>
      </c>
      <c r="Z20" s="3">
        <f t="shared" si="0"/>
        <v>38493.665296796738</v>
      </c>
      <c r="AA20" s="3">
        <f t="shared" si="0"/>
        <v>30846.569255639137</v>
      </c>
      <c r="AB20" s="3">
        <f t="shared" si="0"/>
        <v>31006.70789253222</v>
      </c>
      <c r="AC20" s="3">
        <f t="shared" si="0"/>
        <v>30268.296675061792</v>
      </c>
      <c r="AD20" s="3">
        <f t="shared" si="0"/>
        <v>35437.022007897664</v>
      </c>
      <c r="AE20" s="3">
        <f t="shared" si="0"/>
        <v>38883.170241273168</v>
      </c>
      <c r="AF20" s="3">
        <f t="shared" si="0"/>
        <v>32796.37229818957</v>
      </c>
      <c r="AG20" s="3">
        <f t="shared" si="0"/>
        <v>30008.108224047137</v>
      </c>
    </row>
    <row r="21" spans="1:33" x14ac:dyDescent="0.25">
      <c r="A21" s="2" t="s">
        <v>34</v>
      </c>
      <c r="B21" s="3">
        <f>_xlfn.STDEV.S(B4:B18)</f>
        <v>15182.771613890947</v>
      </c>
      <c r="C21" s="3">
        <f t="shared" ref="C21:AG21" si="1">_xlfn.STDEV.S(C4:C18)</f>
        <v>43812.066935027382</v>
      </c>
      <c r="D21" s="3">
        <f t="shared" si="1"/>
        <v>25170.968715645886</v>
      </c>
      <c r="E21" s="3">
        <f t="shared" si="1"/>
        <v>11257.096770697242</v>
      </c>
      <c r="F21" s="3">
        <f t="shared" si="1"/>
        <v>10897.795362388662</v>
      </c>
      <c r="G21" s="3">
        <f t="shared" si="1"/>
        <v>13706.802556989838</v>
      </c>
      <c r="H21" s="3">
        <f t="shared" si="1"/>
        <v>8920.9157282796859</v>
      </c>
      <c r="I21" s="3">
        <f t="shared" si="1"/>
        <v>19451.146640989504</v>
      </c>
      <c r="J21" s="3">
        <f t="shared" si="1"/>
        <v>12801.594690561022</v>
      </c>
      <c r="K21" s="3">
        <f t="shared" si="1"/>
        <v>32360.897501578587</v>
      </c>
      <c r="L21" s="3">
        <f t="shared" si="1"/>
        <v>12586.487681784816</v>
      </c>
      <c r="M21" s="3">
        <f t="shared" si="1"/>
        <v>12389.250277946498</v>
      </c>
      <c r="N21" s="3">
        <f t="shared" si="1"/>
        <v>24706.151763611586</v>
      </c>
      <c r="O21" s="3">
        <f t="shared" si="1"/>
        <v>19006.136940287819</v>
      </c>
      <c r="P21" s="3">
        <f t="shared" si="1"/>
        <v>12868.869168489475</v>
      </c>
      <c r="Q21" s="4">
        <f t="shared" si="1"/>
        <v>23533.76510149673</v>
      </c>
      <c r="R21" s="2">
        <f t="shared" si="1"/>
        <v>21809.660012100096</v>
      </c>
      <c r="S21" s="3">
        <f t="shared" si="1"/>
        <v>38659.087575632344</v>
      </c>
      <c r="T21" s="3">
        <f t="shared" si="1"/>
        <v>8700.3997715784717</v>
      </c>
      <c r="U21" s="3">
        <f t="shared" si="1"/>
        <v>46018.940896704313</v>
      </c>
      <c r="V21" s="3">
        <f t="shared" si="1"/>
        <v>18489.50305780163</v>
      </c>
      <c r="W21" s="3">
        <f t="shared" si="1"/>
        <v>12901.032494163321</v>
      </c>
      <c r="X21" s="3">
        <f t="shared" si="1"/>
        <v>11409.368501050263</v>
      </c>
      <c r="Y21" s="3">
        <f t="shared" si="1"/>
        <v>22302.553851530498</v>
      </c>
      <c r="Z21" s="3">
        <f t="shared" si="1"/>
        <v>27192.75397288565</v>
      </c>
      <c r="AA21" s="3">
        <f t="shared" si="1"/>
        <v>30356.183797319092</v>
      </c>
      <c r="AB21" s="3">
        <f t="shared" si="1"/>
        <v>17393.164327562441</v>
      </c>
      <c r="AC21" s="3">
        <f t="shared" si="1"/>
        <v>18379.160109657576</v>
      </c>
      <c r="AD21" s="3">
        <f t="shared" si="1"/>
        <v>23224.523839223984</v>
      </c>
      <c r="AE21" s="3">
        <f t="shared" si="1"/>
        <v>28007.78053117458</v>
      </c>
      <c r="AF21" s="3">
        <f t="shared" si="1"/>
        <v>25080.852770522946</v>
      </c>
      <c r="AG21" s="3">
        <f t="shared" si="1"/>
        <v>17528.73411333597</v>
      </c>
    </row>
    <row r="22" spans="1:33" x14ac:dyDescent="0.25">
      <c r="A22" s="2" t="s">
        <v>35</v>
      </c>
      <c r="B22" s="3">
        <f>AVERAGE(B4:Q18)</f>
        <v>33054.56098291932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32144.477237221792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20669.601183844057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24393.288652997377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31830.229638042299</v>
      </c>
      <c r="C26" s="2">
        <f>AVERAGE(C20,E20,G20,I20,K20,M20,O20,Q20)</f>
        <v>34278.892327796348</v>
      </c>
      <c r="E26" s="2">
        <f>AVERAGE(D20,E20,F20,G20,H20,I20)</f>
        <v>31287.686376548969</v>
      </c>
      <c r="F26" s="2">
        <f>AVERAGE(L20:Q20)</f>
        <v>32028.182288791428</v>
      </c>
      <c r="G26" s="2">
        <f>AVERAGE(B20,C20,J20,K20)</f>
        <v>37244.440933666701</v>
      </c>
      <c r="Q26" s="5"/>
      <c r="R26" s="2">
        <f>AVERAGE(R20,T20,V20,X20,Z20,AB20,AD20,AF20)</f>
        <v>31523.002180358293</v>
      </c>
      <c r="S26" s="2">
        <f>AVERAGE(S20,U20,W20,Y20,AA20,AC20,AE20,AG20)</f>
        <v>32765.952294085324</v>
      </c>
      <c r="U26" s="2">
        <f>AVERAGE(T20:Y20)</f>
        <v>29801.882893172529</v>
      </c>
      <c r="V26" s="2">
        <f>AVERAGE(AB20:AG20)</f>
        <v>33066.612889833588</v>
      </c>
      <c r="W26" s="2">
        <f>AVERAGE(R20:S20,Z20:AA20)</f>
        <v>34275.165274378043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0.83309578579972676</v>
      </c>
      <c r="C28" s="3">
        <f t="shared" ref="C28:Q28" si="2">_xlfn.T.TEST(C4:C18,S4:S18,2,1)</f>
        <v>0.41272313795583737</v>
      </c>
      <c r="D28" s="3">
        <f t="shared" si="2"/>
        <v>6.9134525701598712E-2</v>
      </c>
      <c r="E28" s="3">
        <f t="shared" si="2"/>
        <v>0.36974641273833453</v>
      </c>
      <c r="F28" s="3">
        <f t="shared" si="2"/>
        <v>0.54594937546879008</v>
      </c>
      <c r="G28" s="3">
        <f t="shared" si="2"/>
        <v>0.11661565166626157</v>
      </c>
      <c r="H28" s="3">
        <f t="shared" si="2"/>
        <v>4.7560912684148368E-3</v>
      </c>
      <c r="I28" s="3">
        <f t="shared" si="2"/>
        <v>0.80623734353111387</v>
      </c>
      <c r="J28" s="3">
        <f t="shared" si="2"/>
        <v>0.24706890077363761</v>
      </c>
      <c r="K28" s="3">
        <f t="shared" si="2"/>
        <v>0.41156250353642587</v>
      </c>
      <c r="L28" s="3">
        <f t="shared" si="2"/>
        <v>0.40184993680292291</v>
      </c>
      <c r="M28" s="3">
        <f t="shared" si="2"/>
        <v>0.66093792465808365</v>
      </c>
      <c r="N28" s="3">
        <f t="shared" si="2"/>
        <v>0.66749856636593008</v>
      </c>
      <c r="O28" s="3">
        <f t="shared" si="2"/>
        <v>0.24020550145328778</v>
      </c>
      <c r="P28" s="3">
        <f t="shared" si="2"/>
        <v>0.53807060341600188</v>
      </c>
      <c r="Q28" s="3">
        <f t="shared" si="2"/>
        <v>4.8185781711772485E-2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G18"/>
  <sheetViews>
    <sheetView workbookViewId="0">
      <selection sqref="A1:XFD1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11753.101508921492</v>
      </c>
      <c r="C3">
        <v>10756.937037687394</v>
      </c>
      <c r="D3">
        <v>9167.5769781137515</v>
      </c>
      <c r="E3">
        <v>11706.904643283284</v>
      </c>
      <c r="F3">
        <v>9051.9673136735219</v>
      </c>
      <c r="G3">
        <v>11411.667315233335</v>
      </c>
      <c r="H3">
        <v>10735.239407260819</v>
      </c>
      <c r="I3">
        <v>11274.135980872543</v>
      </c>
      <c r="J3">
        <v>12293.72262985674</v>
      </c>
      <c r="K3">
        <v>11519.185957384823</v>
      </c>
      <c r="L3">
        <v>10920.634596202144</v>
      </c>
      <c r="M3">
        <v>10503.206013562172</v>
      </c>
      <c r="N3">
        <v>10445.238596004141</v>
      </c>
      <c r="O3">
        <v>11721.154946875598</v>
      </c>
      <c r="P3">
        <v>18186.817125204838</v>
      </c>
      <c r="Q3">
        <v>10769.75504893433</v>
      </c>
      <c r="R3">
        <v>9739.7642259969634</v>
      </c>
      <c r="S3">
        <v>9467.7700634345601</v>
      </c>
      <c r="T3">
        <v>8468.9480197801295</v>
      </c>
      <c r="U3">
        <v>9492.3016773131603</v>
      </c>
      <c r="V3">
        <v>11869.857185655062</v>
      </c>
      <c r="W3">
        <v>9200.6205580477599</v>
      </c>
      <c r="X3">
        <v>9744.0789223980137</v>
      </c>
      <c r="Y3">
        <v>9601.2046449119043</v>
      </c>
      <c r="Z3">
        <v>8868.2602746365155</v>
      </c>
      <c r="AA3">
        <v>8239.7058872900052</v>
      </c>
      <c r="AB3">
        <v>14191.168447448792</v>
      </c>
      <c r="AC3">
        <v>9693.7831481542744</v>
      </c>
      <c r="AD3">
        <v>8563.8336064877658</v>
      </c>
      <c r="AE3">
        <v>9089.3505954875563</v>
      </c>
      <c r="AF3">
        <v>9784.7948080716087</v>
      </c>
      <c r="AG3">
        <v>9144.8435876906697</v>
      </c>
    </row>
    <row r="4" spans="1:33" x14ac:dyDescent="0.25">
      <c r="A4" t="s">
        <v>2</v>
      </c>
      <c r="B4">
        <v>9240.7331260003921</v>
      </c>
      <c r="C4">
        <v>9594.2301170240607</v>
      </c>
      <c r="D4">
        <v>8672.2939905156927</v>
      </c>
      <c r="E4">
        <v>9762.8320419849588</v>
      </c>
      <c r="F4">
        <v>9480.2770050709951</v>
      </c>
      <c r="G4">
        <v>10322.00353763959</v>
      </c>
      <c r="H4">
        <v>9408.3024503541728</v>
      </c>
      <c r="I4">
        <v>10336.340039416438</v>
      </c>
      <c r="J4">
        <v>10669.371416657861</v>
      </c>
      <c r="K4">
        <v>9106.3349866570061</v>
      </c>
      <c r="L4">
        <v>9517.0409131524575</v>
      </c>
      <c r="M4">
        <v>8619.5753887544251</v>
      </c>
      <c r="N4">
        <v>9347.207156183089</v>
      </c>
      <c r="O4">
        <v>8697.0589945759966</v>
      </c>
      <c r="P4">
        <v>11190.606643873958</v>
      </c>
      <c r="Q4">
        <v>9728.5822576412756</v>
      </c>
      <c r="R4">
        <v>9569.1250896465626</v>
      </c>
      <c r="S4">
        <v>9803.5360164189315</v>
      </c>
      <c r="T4">
        <v>9149.4698591308224</v>
      </c>
      <c r="U4">
        <v>8745.6261741663966</v>
      </c>
      <c r="V4">
        <v>8119.1833564620629</v>
      </c>
      <c r="W4">
        <v>7960.470218784274</v>
      </c>
      <c r="X4">
        <v>9113.4129880009277</v>
      </c>
      <c r="Y4">
        <v>9350.7084101798246</v>
      </c>
      <c r="Z4">
        <v>10169.189311470875</v>
      </c>
      <c r="AA4">
        <v>8107.3645643967229</v>
      </c>
      <c r="AB4">
        <v>9434.2946317468195</v>
      </c>
      <c r="AC4">
        <v>8885.1518325410398</v>
      </c>
      <c r="AD4">
        <v>7787.4589405161651</v>
      </c>
      <c r="AE4">
        <v>9673.4562429079015</v>
      </c>
      <c r="AF4">
        <v>9482.7224072633089</v>
      </c>
      <c r="AG4">
        <v>9819.4806306292885</v>
      </c>
    </row>
    <row r="5" spans="1:33" x14ac:dyDescent="0.25">
      <c r="A5" t="s">
        <v>3</v>
      </c>
      <c r="B5">
        <v>10852.148749513497</v>
      </c>
      <c r="C5">
        <v>11252.448758479577</v>
      </c>
      <c r="D5">
        <v>11612.932640067213</v>
      </c>
      <c r="E5">
        <v>9960.2934746611209</v>
      </c>
      <c r="F5">
        <v>11069.6250043071</v>
      </c>
      <c r="G5">
        <v>9542.4240533525153</v>
      </c>
      <c r="H5">
        <v>11196.805988245642</v>
      </c>
      <c r="I5">
        <v>9252.3059307412732</v>
      </c>
      <c r="J5">
        <v>11036.786971938654</v>
      </c>
      <c r="K5">
        <v>10933.937334807908</v>
      </c>
      <c r="L5">
        <v>10480.320257686519</v>
      </c>
      <c r="M5">
        <v>9528.763842118904</v>
      </c>
      <c r="N5">
        <v>12280.587931928287</v>
      </c>
      <c r="O5">
        <v>11484.25309945035</v>
      </c>
      <c r="P5">
        <v>10008.9957412767</v>
      </c>
      <c r="Q5">
        <v>9167.4168524368724</v>
      </c>
      <c r="R5">
        <v>9270.3512376930885</v>
      </c>
      <c r="S5">
        <v>8896.5825874671755</v>
      </c>
      <c r="T5">
        <v>9680.3986269050838</v>
      </c>
      <c r="U5">
        <v>8993.8668302665046</v>
      </c>
      <c r="V5">
        <v>8419.4951154675036</v>
      </c>
      <c r="W5">
        <v>7287.6663587288631</v>
      </c>
      <c r="X5">
        <v>8421.5180374149022</v>
      </c>
      <c r="Y5">
        <v>8700.5702273537809</v>
      </c>
      <c r="Z5">
        <v>9496.486364753473</v>
      </c>
      <c r="AA5">
        <v>7481.1780791258007</v>
      </c>
      <c r="AB5">
        <v>9764.0098985372897</v>
      </c>
      <c r="AC5">
        <v>9060.784331905681</v>
      </c>
      <c r="AD5">
        <v>11001.544669433035</v>
      </c>
      <c r="AE5">
        <v>9159.254707086624</v>
      </c>
      <c r="AF5">
        <v>7529.0828228598057</v>
      </c>
      <c r="AG5">
        <v>8531.0849878187619</v>
      </c>
    </row>
    <row r="6" spans="1:33" x14ac:dyDescent="0.25">
      <c r="A6" t="s">
        <v>4</v>
      </c>
      <c r="B6">
        <v>10180.615216175189</v>
      </c>
      <c r="C6">
        <v>10613.312252268661</v>
      </c>
      <c r="D6">
        <v>10208.940793028163</v>
      </c>
      <c r="E6">
        <v>11302.909930769476</v>
      </c>
      <c r="F6">
        <v>11901.663358418566</v>
      </c>
      <c r="G6">
        <v>11495.629700641453</v>
      </c>
      <c r="H6">
        <v>11710.033745604833</v>
      </c>
      <c r="I6">
        <v>11033.91039958371</v>
      </c>
      <c r="J6">
        <v>10422.221412825522</v>
      </c>
      <c r="K6">
        <v>10815.669892932456</v>
      </c>
      <c r="L6">
        <v>11332.412391612455</v>
      </c>
      <c r="M6">
        <v>11653.445815389925</v>
      </c>
      <c r="N6">
        <v>11737.183562310274</v>
      </c>
      <c r="O6">
        <v>9900.6455226555008</v>
      </c>
      <c r="P6">
        <v>10439.936265200957</v>
      </c>
      <c r="Q6">
        <v>11150.617882345792</v>
      </c>
      <c r="R6">
        <v>8829.129999358629</v>
      </c>
      <c r="S6">
        <v>9022.0420052927511</v>
      </c>
      <c r="T6">
        <v>9466.0430266173607</v>
      </c>
      <c r="U6">
        <v>8747.0753619422067</v>
      </c>
      <c r="V6">
        <v>11611.052377929554</v>
      </c>
      <c r="W6">
        <v>8829.7060426046519</v>
      </c>
      <c r="X6">
        <v>9040.9846784382571</v>
      </c>
      <c r="Y6">
        <v>9559.6246259127984</v>
      </c>
      <c r="Z6">
        <v>8949.2824976828488</v>
      </c>
      <c r="AA6">
        <v>9919.3121077667674</v>
      </c>
      <c r="AB6">
        <v>11057.893434614496</v>
      </c>
      <c r="AC6">
        <v>9501.5594755441634</v>
      </c>
      <c r="AD6">
        <v>10147.246732966072</v>
      </c>
      <c r="AE6">
        <v>9915.4039825860236</v>
      </c>
      <c r="AF6">
        <v>9367.8819534391805</v>
      </c>
      <c r="AG6">
        <v>9369.2301047798919</v>
      </c>
    </row>
    <row r="7" spans="1:33" x14ac:dyDescent="0.25">
      <c r="A7" t="s">
        <v>5</v>
      </c>
      <c r="B7">
        <v>11985.16984656933</v>
      </c>
      <c r="C7">
        <v>12561.458347706908</v>
      </c>
      <c r="D7">
        <v>13309.417820713332</v>
      </c>
      <c r="E7">
        <v>12513.39486607385</v>
      </c>
      <c r="F7">
        <v>11498.649079960836</v>
      </c>
      <c r="G7">
        <v>12576.422177488621</v>
      </c>
      <c r="H7">
        <v>13040.047011276354</v>
      </c>
      <c r="I7">
        <v>12203.903134953318</v>
      </c>
      <c r="J7">
        <v>12349.053297576225</v>
      </c>
      <c r="K7">
        <v>11542.420928079779</v>
      </c>
      <c r="L7">
        <v>11790.06367758261</v>
      </c>
      <c r="M7">
        <v>12883.648592509606</v>
      </c>
      <c r="N7">
        <v>12362.0564695668</v>
      </c>
      <c r="O7">
        <v>13272.796216540592</v>
      </c>
      <c r="P7">
        <v>13811.503831857815</v>
      </c>
      <c r="Q7">
        <v>13079.977601591419</v>
      </c>
      <c r="R7">
        <v>9268.2047660610533</v>
      </c>
      <c r="S7">
        <v>9759.1130744785569</v>
      </c>
      <c r="T7">
        <v>10586.523796150206</v>
      </c>
      <c r="U7">
        <v>10008.674488905699</v>
      </c>
      <c r="V7">
        <v>8784.7453503291363</v>
      </c>
      <c r="W7">
        <v>8709.0449523608768</v>
      </c>
      <c r="X7">
        <v>9301.1042701349834</v>
      </c>
      <c r="Y7">
        <v>9526.6597612027072</v>
      </c>
      <c r="Z7">
        <v>10781.299317954057</v>
      </c>
      <c r="AA7">
        <v>9500.4770724668597</v>
      </c>
      <c r="AB7">
        <v>10912.968539576053</v>
      </c>
      <c r="AC7">
        <v>9866.5455000618404</v>
      </c>
      <c r="AD7">
        <v>10587.109333293462</v>
      </c>
      <c r="AE7">
        <v>11804.371114636802</v>
      </c>
      <c r="AF7">
        <v>10689.354710754269</v>
      </c>
      <c r="AG7">
        <v>11289.50202802871</v>
      </c>
    </row>
    <row r="8" spans="1:33" x14ac:dyDescent="0.25">
      <c r="A8" t="s">
        <v>6</v>
      </c>
      <c r="B8">
        <v>10279.210016035289</v>
      </c>
      <c r="C8">
        <v>16294.510955248879</v>
      </c>
      <c r="D8">
        <v>13280.582671217609</v>
      </c>
      <c r="E8">
        <v>11423.683427367348</v>
      </c>
      <c r="F8">
        <v>11219.080366174705</v>
      </c>
      <c r="G8">
        <v>12681.331408062662</v>
      </c>
      <c r="H8">
        <v>10432.27444321911</v>
      </c>
      <c r="I8">
        <v>11163.178462158741</v>
      </c>
      <c r="J8">
        <v>11058.08504515974</v>
      </c>
      <c r="K8">
        <v>12706.426369629993</v>
      </c>
      <c r="L8">
        <v>10212.78075807554</v>
      </c>
      <c r="M8">
        <v>10709.595766418246</v>
      </c>
      <c r="N8">
        <v>10995.301797918986</v>
      </c>
      <c r="O8">
        <v>9699.0038650859806</v>
      </c>
      <c r="P8">
        <v>11333.153913312453</v>
      </c>
      <c r="Q8">
        <v>11620.894798078407</v>
      </c>
      <c r="R8">
        <v>12771.614238387063</v>
      </c>
      <c r="S8">
        <v>9667.5727024685348</v>
      </c>
      <c r="T8">
        <v>9214.7832201681395</v>
      </c>
      <c r="U8">
        <v>9454.3504057975624</v>
      </c>
      <c r="V8">
        <v>9551.5943571301214</v>
      </c>
      <c r="W8">
        <v>8467.5881336046714</v>
      </c>
      <c r="X8">
        <v>8478.3952621468434</v>
      </c>
      <c r="Y8">
        <v>9282.4358730154854</v>
      </c>
      <c r="Z8">
        <v>11274.129205312605</v>
      </c>
      <c r="AA8">
        <v>9313.8437005504093</v>
      </c>
      <c r="AB8">
        <v>10645.414819973721</v>
      </c>
      <c r="AC8">
        <v>10876.691483820283</v>
      </c>
      <c r="AD8">
        <v>10119.118819901267</v>
      </c>
      <c r="AE8">
        <v>11459.470341547378</v>
      </c>
      <c r="AF8">
        <v>11489.0625497245</v>
      </c>
      <c r="AG8">
        <v>10883.949716940198</v>
      </c>
    </row>
    <row r="9" spans="1:33" x14ac:dyDescent="0.25">
      <c r="A9" t="s">
        <v>7</v>
      </c>
      <c r="B9">
        <v>11100.286083408566</v>
      </c>
      <c r="C9">
        <v>10792.344539730835</v>
      </c>
      <c r="D9">
        <v>8972.0696045335317</v>
      </c>
      <c r="E9">
        <v>8126.6571223125666</v>
      </c>
      <c r="F9">
        <v>7920.4833687382616</v>
      </c>
      <c r="G9">
        <v>7951.144155748555</v>
      </c>
      <c r="H9">
        <v>8184.4110285833203</v>
      </c>
      <c r="I9">
        <v>9442.4689595956734</v>
      </c>
      <c r="J9">
        <v>8761.5588907657984</v>
      </c>
      <c r="K9">
        <v>10705.518990170245</v>
      </c>
      <c r="L9">
        <v>9308.8768493098942</v>
      </c>
      <c r="M9">
        <v>9336.4705574291766</v>
      </c>
      <c r="N9">
        <v>8803.5747839168071</v>
      </c>
      <c r="O9">
        <v>8630.8820837121875</v>
      </c>
      <c r="P9">
        <v>8805.707754564819</v>
      </c>
      <c r="Q9">
        <v>11006.992603574054</v>
      </c>
      <c r="R9">
        <v>9578.930417446034</v>
      </c>
      <c r="S9">
        <v>9224.018844493803</v>
      </c>
      <c r="T9">
        <v>7232.3910919808786</v>
      </c>
      <c r="U9">
        <v>8355.6698610172334</v>
      </c>
      <c r="V9">
        <v>7884.8860670300019</v>
      </c>
      <c r="W9">
        <v>8847.2706987757665</v>
      </c>
      <c r="X9">
        <v>8516.6000501663584</v>
      </c>
      <c r="Y9">
        <v>8381.2079268352409</v>
      </c>
      <c r="Z9">
        <v>10213.905170916127</v>
      </c>
      <c r="AA9">
        <v>6922.0811289883541</v>
      </c>
      <c r="AB9">
        <v>9198.1986588350119</v>
      </c>
      <c r="AC9">
        <v>9588.0502105638479</v>
      </c>
      <c r="AD9">
        <v>9104.0962009638824</v>
      </c>
      <c r="AE9">
        <v>8303.0160654298979</v>
      </c>
      <c r="AF9">
        <v>11023.282024472966</v>
      </c>
      <c r="AG9">
        <v>10218.131622286146</v>
      </c>
    </row>
    <row r="10" spans="1:33" x14ac:dyDescent="0.25">
      <c r="A10" t="s">
        <v>8</v>
      </c>
      <c r="B10">
        <v>10318.331471529827</v>
      </c>
      <c r="C10">
        <v>11565.860418679564</v>
      </c>
      <c r="D10">
        <v>9582.7171552317413</v>
      </c>
      <c r="E10">
        <v>9888.1947359633305</v>
      </c>
      <c r="F10">
        <v>9228.4900442844264</v>
      </c>
      <c r="G10">
        <v>10850.541788490445</v>
      </c>
      <c r="H10">
        <v>10337.834090281582</v>
      </c>
      <c r="I10">
        <v>10930.984401959713</v>
      </c>
      <c r="J10">
        <v>10155.786798917605</v>
      </c>
      <c r="K10">
        <v>10502.748503635223</v>
      </c>
      <c r="L10">
        <v>11683.736864085302</v>
      </c>
      <c r="M10">
        <v>10467.634764587634</v>
      </c>
      <c r="N10">
        <v>12651.431886845974</v>
      </c>
      <c r="O10">
        <v>11789.748072168528</v>
      </c>
      <c r="P10">
        <v>10793.893350594921</v>
      </c>
      <c r="Q10">
        <v>11868.791749189364</v>
      </c>
      <c r="R10">
        <v>8842.8131671003648</v>
      </c>
      <c r="S10">
        <v>12168.923146870487</v>
      </c>
      <c r="T10">
        <v>7014.4861740600236</v>
      </c>
      <c r="U10">
        <v>13571.259228541454</v>
      </c>
      <c r="V10">
        <v>7831.0802946583581</v>
      </c>
      <c r="W10">
        <v>7737.7102332138911</v>
      </c>
      <c r="X10">
        <v>8593.4818359785149</v>
      </c>
      <c r="Y10">
        <v>10208.123147544955</v>
      </c>
      <c r="Z10">
        <v>9649.7910111664605</v>
      </c>
      <c r="AA10">
        <v>17224.868668185813</v>
      </c>
      <c r="AB10">
        <v>10147.893705526367</v>
      </c>
      <c r="AC10">
        <v>10518.106709484458</v>
      </c>
      <c r="AD10">
        <v>9129.5454099769195</v>
      </c>
      <c r="AE10">
        <v>10649.303254821571</v>
      </c>
      <c r="AF10">
        <v>7871.2477712163327</v>
      </c>
      <c r="AG10">
        <v>9707.9272507024325</v>
      </c>
    </row>
    <row r="11" spans="1:33" x14ac:dyDescent="0.25">
      <c r="A11" t="s">
        <v>9</v>
      </c>
      <c r="B11">
        <v>7932.884255148173</v>
      </c>
      <c r="C11">
        <v>6188.1778346571391</v>
      </c>
      <c r="D11">
        <v>5797.2915439922854</v>
      </c>
      <c r="E11">
        <v>6190.7863281219816</v>
      </c>
      <c r="F11">
        <v>5511.1787971591784</v>
      </c>
      <c r="G11">
        <v>5141.6767070058904</v>
      </c>
      <c r="H11">
        <v>8579.3318494205596</v>
      </c>
      <c r="I11">
        <v>5664.9318995848262</v>
      </c>
      <c r="J11">
        <v>5967.0602787341168</v>
      </c>
      <c r="K11">
        <v>5605.3069920979233</v>
      </c>
      <c r="L11">
        <v>6112.468771464266</v>
      </c>
      <c r="M11">
        <v>7110.6039397433015</v>
      </c>
      <c r="N11">
        <v>6136.0897748671578</v>
      </c>
      <c r="O11">
        <v>5572.3937218941192</v>
      </c>
      <c r="P11">
        <v>5722.20724823418</v>
      </c>
      <c r="Q11">
        <v>6079.6171295911363</v>
      </c>
      <c r="R11">
        <v>5959.1655726633762</v>
      </c>
      <c r="S11">
        <v>6062.8920301774087</v>
      </c>
      <c r="T11">
        <v>5704.6780227943982</v>
      </c>
      <c r="U11">
        <v>5764.6496698799529</v>
      </c>
      <c r="V11">
        <v>4583.4921972073444</v>
      </c>
      <c r="W11">
        <v>4878.2418660384537</v>
      </c>
      <c r="X11">
        <v>5669.7738483430358</v>
      </c>
      <c r="Y11">
        <v>5660.0856694590057</v>
      </c>
      <c r="Z11">
        <v>5919.1910853814152</v>
      </c>
      <c r="AA11">
        <v>5665.9029889372578</v>
      </c>
      <c r="AB11">
        <v>6443.1345933445573</v>
      </c>
      <c r="AC11">
        <v>5562.1322271177596</v>
      </c>
      <c r="AD11">
        <v>5532.8913190296917</v>
      </c>
      <c r="AE11">
        <v>5657.0683686613283</v>
      </c>
      <c r="AF11">
        <v>6277.3219073784403</v>
      </c>
      <c r="AG11">
        <v>5440.5221647928793</v>
      </c>
    </row>
    <row r="12" spans="1:33" x14ac:dyDescent="0.25">
      <c r="A12" t="s">
        <v>10</v>
      </c>
      <c r="B12">
        <v>8032.9544679537375</v>
      </c>
      <c r="C12">
        <v>7094.782844811034</v>
      </c>
      <c r="D12">
        <v>7294.2148584657134</v>
      </c>
      <c r="E12">
        <v>7538.7801958657919</v>
      </c>
      <c r="F12">
        <v>6445.4667217026536</v>
      </c>
      <c r="G12">
        <v>5278.9373817762653</v>
      </c>
      <c r="H12">
        <v>8997.9389797985677</v>
      </c>
      <c r="I12">
        <v>7609.8095206079252</v>
      </c>
      <c r="J12">
        <v>7880.32662407711</v>
      </c>
      <c r="K12">
        <v>8096.983366309837</v>
      </c>
      <c r="L12">
        <v>7630.2509025656127</v>
      </c>
      <c r="M12">
        <v>7009.8224325394149</v>
      </c>
      <c r="N12">
        <v>7450.7880876490581</v>
      </c>
      <c r="O12">
        <v>7547.508148502724</v>
      </c>
      <c r="P12">
        <v>7167.1666275301795</v>
      </c>
      <c r="Q12">
        <v>9143.6669928709543</v>
      </c>
      <c r="R12">
        <v>6195.2665510517854</v>
      </c>
      <c r="S12">
        <v>6612.0218530077263</v>
      </c>
      <c r="T12">
        <v>5638.7862978848116</v>
      </c>
      <c r="U12">
        <v>5984.4196484629865</v>
      </c>
      <c r="V12">
        <v>5133.6308779203209</v>
      </c>
      <c r="W12">
        <v>4957.79709446998</v>
      </c>
      <c r="X12">
        <v>5981.120838734304</v>
      </c>
      <c r="Y12">
        <v>5840.2123580367142</v>
      </c>
      <c r="Z12">
        <v>6688.8727201854053</v>
      </c>
      <c r="AA12">
        <v>6544.966379041085</v>
      </c>
      <c r="AB12">
        <v>7184.5013032922352</v>
      </c>
      <c r="AC12">
        <v>7348.1887143839504</v>
      </c>
      <c r="AD12">
        <v>7628.3719818126738</v>
      </c>
      <c r="AE12">
        <v>6460.5009505306843</v>
      </c>
      <c r="AF12">
        <v>7964.8349530850919</v>
      </c>
      <c r="AG12">
        <v>8033.6797975685004</v>
      </c>
    </row>
    <row r="13" spans="1:33" x14ac:dyDescent="0.25">
      <c r="A13" t="s">
        <v>11</v>
      </c>
      <c r="B13">
        <v>5466.3201536708384</v>
      </c>
      <c r="C13">
        <v>5571.8555184173501</v>
      </c>
      <c r="D13">
        <v>5387.3764468846957</v>
      </c>
      <c r="E13">
        <v>5334.5148821109706</v>
      </c>
      <c r="F13">
        <v>4829.1134896059884</v>
      </c>
      <c r="G13">
        <v>5607.2697807441073</v>
      </c>
      <c r="H13">
        <v>5192.2754215436289</v>
      </c>
      <c r="I13">
        <v>5660.5856965925814</v>
      </c>
      <c r="J13">
        <v>5700.8980510559613</v>
      </c>
      <c r="K13">
        <v>5100.4186712869468</v>
      </c>
      <c r="L13">
        <v>5023.2155716711368</v>
      </c>
      <c r="M13">
        <v>4904.4090699886183</v>
      </c>
      <c r="N13">
        <v>5657.7989507874554</v>
      </c>
      <c r="O13">
        <v>5751.3217788269321</v>
      </c>
      <c r="P13">
        <v>5879.9155040971036</v>
      </c>
      <c r="Q13">
        <v>4843.79833092017</v>
      </c>
      <c r="R13">
        <v>5098.8406998235623</v>
      </c>
      <c r="S13">
        <v>4852.0705474105043</v>
      </c>
      <c r="T13">
        <v>3970.6672717744086</v>
      </c>
      <c r="U13">
        <v>4421.3703142689246</v>
      </c>
      <c r="V13">
        <v>4761.9172949724471</v>
      </c>
      <c r="W13">
        <v>3501.9962263604848</v>
      </c>
      <c r="X13">
        <v>4028.6358247314583</v>
      </c>
      <c r="Y13">
        <v>4361.1461693933452</v>
      </c>
      <c r="Z13">
        <v>4990.0212168327726</v>
      </c>
      <c r="AA13">
        <v>4710.9379126709246</v>
      </c>
      <c r="AB13">
        <v>5554.1021838508495</v>
      </c>
      <c r="AC13">
        <v>4668.9502692216374</v>
      </c>
      <c r="AD13">
        <v>5363.0863096349212</v>
      </c>
      <c r="AE13">
        <v>5884.087303838357</v>
      </c>
      <c r="AF13">
        <v>5775.614261093031</v>
      </c>
      <c r="AG13">
        <v>4958.9144061196848</v>
      </c>
    </row>
    <row r="14" spans="1:33" x14ac:dyDescent="0.25">
      <c r="A14" t="s">
        <v>12</v>
      </c>
      <c r="B14">
        <v>9482.6519619609426</v>
      </c>
      <c r="C14">
        <v>8887.2918177959655</v>
      </c>
      <c r="D14">
        <v>9276.1941146774261</v>
      </c>
      <c r="E14">
        <v>8019.944742291319</v>
      </c>
      <c r="F14">
        <v>7328.6375383945469</v>
      </c>
      <c r="G14">
        <v>6773.9384983612354</v>
      </c>
      <c r="H14">
        <v>9905.6800973757345</v>
      </c>
      <c r="I14">
        <v>8380.8188818658782</v>
      </c>
      <c r="J14">
        <v>8932.6347313193291</v>
      </c>
      <c r="K14">
        <v>10255.540089946495</v>
      </c>
      <c r="L14">
        <v>9206.2271285590359</v>
      </c>
      <c r="M14">
        <v>6953.9058037409241</v>
      </c>
      <c r="N14">
        <v>8326.4494582282459</v>
      </c>
      <c r="O14">
        <v>8852.4520497885642</v>
      </c>
      <c r="P14">
        <v>7824.2547276436735</v>
      </c>
      <c r="Q14">
        <v>6905.7902286313938</v>
      </c>
      <c r="R14">
        <v>5496.5736129115066</v>
      </c>
      <c r="S14">
        <v>5374.4949388729319</v>
      </c>
      <c r="T14">
        <v>5592.1595071398342</v>
      </c>
      <c r="U14">
        <v>5726.7328791088876</v>
      </c>
      <c r="V14">
        <v>4123.8029913762102</v>
      </c>
      <c r="W14">
        <v>4834.4678474860848</v>
      </c>
      <c r="X14">
        <v>4514.4084833739298</v>
      </c>
      <c r="Y14">
        <v>5497.4351939916014</v>
      </c>
      <c r="Z14">
        <v>5764.1762378512049</v>
      </c>
      <c r="AA14">
        <v>6213.375544149907</v>
      </c>
      <c r="AB14">
        <v>5141.8616287885343</v>
      </c>
      <c r="AC14">
        <v>5412.4135550375286</v>
      </c>
      <c r="AD14">
        <v>5364.8461243890179</v>
      </c>
      <c r="AE14">
        <v>5237.2649836033188</v>
      </c>
      <c r="AF14">
        <v>6089.817110624469</v>
      </c>
      <c r="AG14">
        <v>5067.4069720298612</v>
      </c>
    </row>
    <row r="15" spans="1:33" x14ac:dyDescent="0.25">
      <c r="A15" t="s">
        <v>13</v>
      </c>
      <c r="B15">
        <v>7239.850454855964</v>
      </c>
      <c r="C15">
        <v>7037.7798507340667</v>
      </c>
      <c r="D15">
        <v>7684.4912022859153</v>
      </c>
      <c r="E15">
        <v>6672.6479497526097</v>
      </c>
      <c r="F15">
        <v>6910.5866051507128</v>
      </c>
      <c r="G15">
        <v>5465.8479064791554</v>
      </c>
      <c r="H15">
        <v>8816.7473972752778</v>
      </c>
      <c r="I15">
        <v>6127.3442327023586</v>
      </c>
      <c r="J15">
        <v>7261.2615501390228</v>
      </c>
      <c r="K15">
        <v>6781.0014574094384</v>
      </c>
      <c r="L15">
        <v>6661.4167207411956</v>
      </c>
      <c r="M15">
        <v>6221.2355751012619</v>
      </c>
      <c r="N15">
        <v>6032.757668877035</v>
      </c>
      <c r="O15">
        <v>6161.856671799841</v>
      </c>
      <c r="P15">
        <v>6111.5310996917779</v>
      </c>
      <c r="Q15">
        <v>6635.8371579368832</v>
      </c>
      <c r="R15">
        <v>5057.8707726538669</v>
      </c>
      <c r="S15">
        <v>4439.2728290240893</v>
      </c>
      <c r="T15">
        <v>4625.3317007188307</v>
      </c>
      <c r="U15">
        <v>4044.3428001324187</v>
      </c>
      <c r="V15">
        <v>4454.3636212796409</v>
      </c>
      <c r="W15">
        <v>4187.6912656283239</v>
      </c>
      <c r="X15">
        <v>4828.0761882589413</v>
      </c>
      <c r="Y15">
        <v>4904.5663755679398</v>
      </c>
      <c r="Z15">
        <v>4699.4362779705734</v>
      </c>
      <c r="AA15">
        <v>5277.5546623068785</v>
      </c>
      <c r="AB15">
        <v>4837.1375314341403</v>
      </c>
      <c r="AC15">
        <v>4612.9962802746995</v>
      </c>
      <c r="AD15">
        <v>4796.7604408195293</v>
      </c>
      <c r="AE15">
        <v>4626.8232800293499</v>
      </c>
      <c r="AF15">
        <v>4808.074262530954</v>
      </c>
      <c r="AG15">
        <v>4722.0510228856347</v>
      </c>
    </row>
    <row r="16" spans="1:33" x14ac:dyDescent="0.25">
      <c r="A16" t="s">
        <v>14</v>
      </c>
      <c r="B16">
        <v>13067.985207322694</v>
      </c>
      <c r="C16">
        <v>16373.957315098021</v>
      </c>
      <c r="D16">
        <v>13198.246705942953</v>
      </c>
      <c r="E16">
        <v>12793.702547217035</v>
      </c>
      <c r="F16">
        <v>12655.67696034433</v>
      </c>
      <c r="G16">
        <v>11611.432623185054</v>
      </c>
      <c r="H16">
        <v>14682.895418145819</v>
      </c>
      <c r="I16">
        <v>13240.156024944448</v>
      </c>
      <c r="J16">
        <v>14487.52866016902</v>
      </c>
      <c r="K16">
        <v>13332.61297220616</v>
      </c>
      <c r="L16">
        <v>14621.869499006865</v>
      </c>
      <c r="M16">
        <v>12522.487780365964</v>
      </c>
      <c r="N16">
        <v>12816.907030447783</v>
      </c>
      <c r="O16">
        <v>15459.927403870224</v>
      </c>
      <c r="P16">
        <v>16517.513877888709</v>
      </c>
      <c r="Q16">
        <v>13561.723795935464</v>
      </c>
      <c r="R16">
        <v>11180.577918776777</v>
      </c>
      <c r="S16">
        <v>8885.3236339160321</v>
      </c>
      <c r="T16">
        <v>8946.6223466487718</v>
      </c>
      <c r="U16">
        <v>9303.7816094702794</v>
      </c>
      <c r="V16">
        <v>7316.481190932358</v>
      </c>
      <c r="W16">
        <v>6834.5548209663357</v>
      </c>
      <c r="X16">
        <v>9770.7587150611835</v>
      </c>
      <c r="Y16">
        <v>9203.8620867071804</v>
      </c>
      <c r="Z16">
        <v>8855.636006847908</v>
      </c>
      <c r="AA16">
        <v>8285.6195208558038</v>
      </c>
      <c r="AB16">
        <v>10225.004299482021</v>
      </c>
      <c r="AC16">
        <v>8703.1644942995244</v>
      </c>
      <c r="AD16">
        <v>10640.135967383907</v>
      </c>
      <c r="AE16">
        <v>8185.3375146698691</v>
      </c>
      <c r="AF16">
        <v>9044.9845584344184</v>
      </c>
      <c r="AG16">
        <v>8510.9553970344823</v>
      </c>
    </row>
    <row r="17" spans="1:33" x14ac:dyDescent="0.25">
      <c r="A17" t="s">
        <v>15</v>
      </c>
      <c r="B17">
        <v>11875.068899218986</v>
      </c>
      <c r="C17">
        <v>10932.379353174158</v>
      </c>
      <c r="D17">
        <v>12383.091438470652</v>
      </c>
      <c r="E17">
        <v>9902.0457628610857</v>
      </c>
      <c r="F17">
        <v>10740.304588189578</v>
      </c>
      <c r="G17">
        <v>11362.602920389709</v>
      </c>
      <c r="H17">
        <v>12272.526950981464</v>
      </c>
      <c r="I17">
        <v>11670.530825988408</v>
      </c>
      <c r="J17">
        <v>11056.367061693956</v>
      </c>
      <c r="K17">
        <v>11334.891002934528</v>
      </c>
      <c r="L17">
        <v>10822.560070741842</v>
      </c>
      <c r="M17">
        <v>10950.232048304013</v>
      </c>
      <c r="N17">
        <v>10534.442127773982</v>
      </c>
      <c r="O17">
        <v>10103.269116391601</v>
      </c>
      <c r="P17">
        <v>12040.436079344587</v>
      </c>
      <c r="Q17">
        <v>10262.362258590008</v>
      </c>
      <c r="R17">
        <v>6682.3945404045899</v>
      </c>
      <c r="S17">
        <v>6224.5170176619358</v>
      </c>
      <c r="T17">
        <v>6774.2002757603786</v>
      </c>
      <c r="U17">
        <v>5857.5371593305317</v>
      </c>
      <c r="V17">
        <v>5171.8193791994336</v>
      </c>
      <c r="W17">
        <v>6167.2234514491975</v>
      </c>
      <c r="X17">
        <v>7245.2477535071484</v>
      </c>
      <c r="Y17">
        <v>6841.25186039244</v>
      </c>
      <c r="Z17">
        <v>6550.3524138686844</v>
      </c>
      <c r="AA17">
        <v>5998.0734093284564</v>
      </c>
      <c r="AB17">
        <v>6993.5729779917638</v>
      </c>
      <c r="AC17">
        <v>7543.5745079620046</v>
      </c>
      <c r="AD17">
        <v>6992.3384094885041</v>
      </c>
      <c r="AE17">
        <v>8822.9960257223465</v>
      </c>
      <c r="AF17">
        <v>7035.6726600472393</v>
      </c>
      <c r="AG17">
        <v>6237.3614442817398</v>
      </c>
    </row>
    <row r="18" spans="1:33" x14ac:dyDescent="0.25">
      <c r="A18" t="s">
        <v>16</v>
      </c>
      <c r="B18">
        <v>9920.4874278856605</v>
      </c>
      <c r="C18">
        <v>10367.821797434241</v>
      </c>
      <c r="D18">
        <v>9721.8291976093788</v>
      </c>
      <c r="E18">
        <v>9409.152843375783</v>
      </c>
      <c r="F18">
        <v>9052.7466827450262</v>
      </c>
      <c r="G18">
        <v>9204.85799697324</v>
      </c>
      <c r="H18">
        <v>10232.822951957793</v>
      </c>
      <c r="I18">
        <v>9599.4269594378547</v>
      </c>
      <c r="J18">
        <v>9868.8442280591098</v>
      </c>
      <c r="K18">
        <v>9889.2665010325836</v>
      </c>
      <c r="L18">
        <v>9688.2583314971253</v>
      </c>
      <c r="M18">
        <v>9291.6691593702399</v>
      </c>
      <c r="N18">
        <v>9705.1876855536721</v>
      </c>
      <c r="O18">
        <v>9642.9514461425824</v>
      </c>
      <c r="P18">
        <v>10388.909319354447</v>
      </c>
      <c r="Q18">
        <v>9721.7216458845014</v>
      </c>
      <c r="R18">
        <v>8236.0415206650141</v>
      </c>
      <c r="S18">
        <v>8030.6767527330276</v>
      </c>
      <c r="T18">
        <v>7471.0326158342705</v>
      </c>
      <c r="U18">
        <v>7898.1105405736134</v>
      </c>
      <c r="V18">
        <v>7307.8267771699711</v>
      </c>
      <c r="W18">
        <v>6826.8033179013082</v>
      </c>
      <c r="X18">
        <v>7549.8398464459196</v>
      </c>
      <c r="Y18">
        <v>7794.6062887003291</v>
      </c>
      <c r="Z18">
        <v>8191.3352741887293</v>
      </c>
      <c r="AA18">
        <v>7960.3507750707367</v>
      </c>
      <c r="AB18">
        <v>8782.0771102961771</v>
      </c>
      <c r="AC18">
        <v>8122.8061826915136</v>
      </c>
      <c r="AD18">
        <v>8183.8922844064537</v>
      </c>
      <c r="AE18">
        <v>8328.5136487706004</v>
      </c>
      <c r="AF18">
        <v>8282.2499173997094</v>
      </c>
      <c r="AG18">
        <v>8129.0027422392586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8"/>
  <sheetViews>
    <sheetView workbookViewId="0">
      <selection activeCell="A19" sqref="A19:XFD28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33308.503699830777</v>
      </c>
      <c r="C3">
        <v>28757.213164483393</v>
      </c>
      <c r="D3">
        <v>25737.879274315728</v>
      </c>
      <c r="E3">
        <v>35270.117219093168</v>
      </c>
      <c r="F3">
        <v>30794.549859046772</v>
      </c>
      <c r="G3">
        <v>37730.873439533199</v>
      </c>
      <c r="H3">
        <v>39308.209895076667</v>
      </c>
      <c r="I3">
        <v>32584.608446070568</v>
      </c>
      <c r="J3">
        <v>30135.999001106538</v>
      </c>
      <c r="K3">
        <v>78308.788860304063</v>
      </c>
      <c r="L3">
        <v>25933.61461484091</v>
      </c>
      <c r="M3">
        <v>26545.092604899401</v>
      </c>
      <c r="N3">
        <v>30998.92359293584</v>
      </c>
      <c r="O3">
        <v>132667.49978699716</v>
      </c>
      <c r="P3">
        <v>205914.0316218001</v>
      </c>
      <c r="Q3">
        <v>28831.264967295429</v>
      </c>
      <c r="R3">
        <v>36233.876830172128</v>
      </c>
      <c r="S3">
        <v>43166.20506618022</v>
      </c>
      <c r="T3">
        <v>38121.315384900496</v>
      </c>
      <c r="U3">
        <v>32431.093409181252</v>
      </c>
      <c r="V3">
        <v>72710.141420856802</v>
      </c>
      <c r="W3">
        <v>22154.613815409779</v>
      </c>
      <c r="X3">
        <v>36988.890597960526</v>
      </c>
      <c r="Y3">
        <v>68530.801125691592</v>
      </c>
      <c r="Z3">
        <v>37566.619562715794</v>
      </c>
      <c r="AA3">
        <v>42564.192897562643</v>
      </c>
      <c r="AB3">
        <v>70369.362039304353</v>
      </c>
      <c r="AC3">
        <v>30138.358095130265</v>
      </c>
      <c r="AD3">
        <v>21693.658059158366</v>
      </c>
      <c r="AE3">
        <v>55582.530296431432</v>
      </c>
      <c r="AF3">
        <v>37464.088267954547</v>
      </c>
      <c r="AG3">
        <v>32069.807622667606</v>
      </c>
    </row>
    <row r="4" spans="1:33" x14ac:dyDescent="0.25">
      <c r="A4" t="s">
        <v>2</v>
      </c>
      <c r="B4">
        <v>26120.344564543673</v>
      </c>
      <c r="C4">
        <v>22834.191040050468</v>
      </c>
      <c r="D4">
        <v>24785.293376952523</v>
      </c>
      <c r="E4">
        <v>26040.123246575982</v>
      </c>
      <c r="F4">
        <v>32038.902793009926</v>
      </c>
      <c r="G4">
        <v>21041.616164446845</v>
      </c>
      <c r="H4">
        <v>27675.928532042701</v>
      </c>
      <c r="I4">
        <v>23651.696438687039</v>
      </c>
      <c r="J4">
        <v>22235.999817005373</v>
      </c>
      <c r="K4">
        <v>21065.862435509927</v>
      </c>
      <c r="L4">
        <v>20862.844688828009</v>
      </c>
      <c r="M4">
        <v>21480.997769600552</v>
      </c>
      <c r="N4">
        <v>21582.435855916614</v>
      </c>
      <c r="O4">
        <v>19960.459882593786</v>
      </c>
      <c r="P4">
        <v>30937.575139439497</v>
      </c>
      <c r="Q4">
        <v>26831.216184484234</v>
      </c>
      <c r="R4">
        <v>24957.939494436134</v>
      </c>
      <c r="S4">
        <v>37534.349656515406</v>
      </c>
      <c r="T4">
        <v>25179.705837096401</v>
      </c>
      <c r="U4">
        <v>24664.501128055996</v>
      </c>
      <c r="V4">
        <v>22044.045769722034</v>
      </c>
      <c r="W4">
        <v>36446.368244678619</v>
      </c>
      <c r="X4">
        <v>35547.367432002575</v>
      </c>
      <c r="Y4">
        <v>21424.313407804933</v>
      </c>
      <c r="Z4">
        <v>85017.522966646531</v>
      </c>
      <c r="AA4">
        <v>32661.41494447647</v>
      </c>
      <c r="AB4">
        <v>36570.197782790783</v>
      </c>
      <c r="AC4">
        <v>29771.899344817386</v>
      </c>
      <c r="AD4">
        <v>24191.850587226545</v>
      </c>
      <c r="AE4">
        <v>34494.042569917212</v>
      </c>
      <c r="AF4">
        <v>35125.785708856471</v>
      </c>
      <c r="AG4">
        <v>27035.900349172502</v>
      </c>
    </row>
    <row r="5" spans="1:33" x14ac:dyDescent="0.25">
      <c r="A5" t="s">
        <v>3</v>
      </c>
      <c r="B5">
        <v>23004.960494715022</v>
      </c>
      <c r="C5">
        <v>34078.40587437107</v>
      </c>
      <c r="D5">
        <v>29842.865564730746</v>
      </c>
      <c r="E5">
        <v>20307.593244403331</v>
      </c>
      <c r="F5">
        <v>34004.272655329354</v>
      </c>
      <c r="G5">
        <v>24585.355533151516</v>
      </c>
      <c r="H5">
        <v>34506.358845589166</v>
      </c>
      <c r="I5">
        <v>26687.881623519235</v>
      </c>
      <c r="J5">
        <v>23096.565717500896</v>
      </c>
      <c r="K5">
        <v>27672.392672186226</v>
      </c>
      <c r="L5">
        <v>27709.846258045302</v>
      </c>
      <c r="M5">
        <v>33002.373420806391</v>
      </c>
      <c r="N5">
        <v>57752.027350361299</v>
      </c>
      <c r="O5">
        <v>21787.417529987881</v>
      </c>
      <c r="P5">
        <v>23739.66390533821</v>
      </c>
      <c r="Q5">
        <v>19443.341428879929</v>
      </c>
      <c r="R5">
        <v>33382.175059171997</v>
      </c>
      <c r="S5">
        <v>21164.741000201655</v>
      </c>
      <c r="T5">
        <v>27079.085327720968</v>
      </c>
      <c r="U5">
        <v>42947.000535276762</v>
      </c>
      <c r="V5">
        <v>30784.743480316814</v>
      </c>
      <c r="W5">
        <v>26928.629112650971</v>
      </c>
      <c r="X5">
        <v>24999.041137436074</v>
      </c>
      <c r="Y5">
        <v>62435.343154315517</v>
      </c>
      <c r="Z5">
        <v>44399.826149951856</v>
      </c>
      <c r="AA5">
        <v>18920.315345087114</v>
      </c>
      <c r="AB5">
        <v>28204.148311365199</v>
      </c>
      <c r="AC5">
        <v>27852.383466487663</v>
      </c>
      <c r="AD5">
        <v>66073.601947769828</v>
      </c>
      <c r="AE5">
        <v>26191.675363357066</v>
      </c>
      <c r="AF5">
        <v>18164.229812156856</v>
      </c>
      <c r="AG5">
        <v>24939.997130508964</v>
      </c>
    </row>
    <row r="6" spans="1:33" x14ac:dyDescent="0.25">
      <c r="A6" t="s">
        <v>4</v>
      </c>
      <c r="B6">
        <v>28742.787693876686</v>
      </c>
      <c r="C6">
        <v>20447.354352533581</v>
      </c>
      <c r="D6">
        <v>23270.955213294619</v>
      </c>
      <c r="E6">
        <v>25728.293380550254</v>
      </c>
      <c r="F6">
        <v>34826.736170723809</v>
      </c>
      <c r="G6">
        <v>37476.490427623139</v>
      </c>
      <c r="H6">
        <v>26796.257711058417</v>
      </c>
      <c r="I6">
        <v>28718.625507807941</v>
      </c>
      <c r="J6">
        <v>28198.160981092195</v>
      </c>
      <c r="K6">
        <v>26715.7717015134</v>
      </c>
      <c r="L6">
        <v>39299.77500402226</v>
      </c>
      <c r="M6">
        <v>34101.708630282403</v>
      </c>
      <c r="N6">
        <v>37526.165267132652</v>
      </c>
      <c r="O6">
        <v>21272.604195893429</v>
      </c>
      <c r="P6">
        <v>27561.942579076538</v>
      </c>
      <c r="Q6">
        <v>53430.289410095625</v>
      </c>
      <c r="R6">
        <v>29626.657325188877</v>
      </c>
      <c r="S6">
        <v>27256.761906910688</v>
      </c>
      <c r="T6">
        <v>25537.257686023266</v>
      </c>
      <c r="U6">
        <v>22753.761630922527</v>
      </c>
      <c r="V6">
        <v>58256.19205237741</v>
      </c>
      <c r="W6">
        <v>24850.750568111423</v>
      </c>
      <c r="X6">
        <v>27092.099797254512</v>
      </c>
      <c r="Y6">
        <v>32440.332553502478</v>
      </c>
      <c r="Z6">
        <v>25012.129277254095</v>
      </c>
      <c r="AA6">
        <v>36811.986755707461</v>
      </c>
      <c r="AB6">
        <v>55591.403851734576</v>
      </c>
      <c r="AC6">
        <v>26517.789880259592</v>
      </c>
      <c r="AD6">
        <v>77221.785388166885</v>
      </c>
      <c r="AE6">
        <v>32949.722052214129</v>
      </c>
      <c r="AF6">
        <v>30889.286682597172</v>
      </c>
      <c r="AG6">
        <v>32826.302771641116</v>
      </c>
    </row>
    <row r="7" spans="1:33" x14ac:dyDescent="0.25">
      <c r="A7" t="s">
        <v>5</v>
      </c>
      <c r="B7">
        <v>35998.384195135077</v>
      </c>
      <c r="C7">
        <v>30304.210382573641</v>
      </c>
      <c r="D7">
        <v>37293.288976725162</v>
      </c>
      <c r="E7">
        <v>42379.03178984519</v>
      </c>
      <c r="F7">
        <v>26417.170604370032</v>
      </c>
      <c r="G7">
        <v>29854.769649265298</v>
      </c>
      <c r="H7">
        <v>34261.747651945276</v>
      </c>
      <c r="I7">
        <v>42519.53543133632</v>
      </c>
      <c r="J7">
        <v>31043.822513570572</v>
      </c>
      <c r="K7">
        <v>45034.958455629807</v>
      </c>
      <c r="L7">
        <v>27326.289346627509</v>
      </c>
      <c r="M7">
        <v>37633.400404237807</v>
      </c>
      <c r="N7">
        <v>46628.393637653309</v>
      </c>
      <c r="O7">
        <v>47335.513040248588</v>
      </c>
      <c r="P7">
        <v>51159.122195833334</v>
      </c>
      <c r="Q7">
        <v>27138.79101295516</v>
      </c>
      <c r="R7">
        <v>25515.585741478946</v>
      </c>
      <c r="S7">
        <v>28376.986373633066</v>
      </c>
      <c r="T7">
        <v>29483.283409077023</v>
      </c>
      <c r="U7">
        <v>26665.347575732922</v>
      </c>
      <c r="V7">
        <v>31931.931195782428</v>
      </c>
      <c r="W7">
        <v>26065.114660323285</v>
      </c>
      <c r="X7">
        <v>32968.400257563982</v>
      </c>
      <c r="Y7">
        <v>37426.019913700664</v>
      </c>
      <c r="Z7">
        <v>33548.938017747707</v>
      </c>
      <c r="AA7">
        <v>30409.756785938094</v>
      </c>
      <c r="AB7">
        <v>36639.261499581349</v>
      </c>
      <c r="AC7">
        <v>28888.826162345067</v>
      </c>
      <c r="AD7">
        <v>30452.291467945608</v>
      </c>
      <c r="AE7">
        <v>75286.691566415422</v>
      </c>
      <c r="AF7">
        <v>28621.463894353597</v>
      </c>
      <c r="AG7">
        <v>30619.332560133073</v>
      </c>
    </row>
    <row r="8" spans="1:33" x14ac:dyDescent="0.25">
      <c r="A8" t="s">
        <v>6</v>
      </c>
      <c r="B8">
        <v>47515.001752047516</v>
      </c>
      <c r="C8">
        <v>172097.13986086869</v>
      </c>
      <c r="D8">
        <v>103479.65419222205</v>
      </c>
      <c r="E8">
        <v>36546.693891898911</v>
      </c>
      <c r="F8">
        <v>33239.67503272296</v>
      </c>
      <c r="G8">
        <v>36795.540900230175</v>
      </c>
      <c r="H8">
        <v>31957.86480430132</v>
      </c>
      <c r="I8">
        <v>30662.55201164131</v>
      </c>
      <c r="J8">
        <v>43168.462820015324</v>
      </c>
      <c r="K8">
        <v>102039.77769362005</v>
      </c>
      <c r="L8">
        <v>35434.865065696962</v>
      </c>
      <c r="M8">
        <v>30528.046626477058</v>
      </c>
      <c r="N8">
        <v>36011.782287160284</v>
      </c>
      <c r="O8">
        <v>26379.390816496329</v>
      </c>
      <c r="P8">
        <v>43473.271667242559</v>
      </c>
      <c r="Q8">
        <v>55224.322953943716</v>
      </c>
      <c r="R8">
        <v>60310.346528518159</v>
      </c>
      <c r="S8">
        <v>25422.390389934983</v>
      </c>
      <c r="T8">
        <v>24967.139588365666</v>
      </c>
      <c r="U8">
        <v>32683.210187738689</v>
      </c>
      <c r="V8">
        <v>63403.859220568273</v>
      </c>
      <c r="W8">
        <v>21067.153230186588</v>
      </c>
      <c r="X8">
        <v>31182.590477258938</v>
      </c>
      <c r="Y8">
        <v>46002.484233384414</v>
      </c>
      <c r="Z8">
        <v>42640.948712562065</v>
      </c>
      <c r="AA8">
        <v>27768.490174387767</v>
      </c>
      <c r="AB8">
        <v>26550.287622483622</v>
      </c>
      <c r="AC8">
        <v>38985.97104011249</v>
      </c>
      <c r="AD8">
        <v>45474.840134203245</v>
      </c>
      <c r="AE8">
        <v>64624.142021916647</v>
      </c>
      <c r="AF8">
        <v>75535.106127006817</v>
      </c>
      <c r="AG8">
        <v>55880.991786149403</v>
      </c>
    </row>
    <row r="9" spans="1:33" x14ac:dyDescent="0.25">
      <c r="A9" t="s">
        <v>7</v>
      </c>
      <c r="B9">
        <v>36839.382599813151</v>
      </c>
      <c r="C9">
        <v>72693.385951707387</v>
      </c>
      <c r="D9">
        <v>31168.321882195822</v>
      </c>
      <c r="E9">
        <v>23181.63897360559</v>
      </c>
      <c r="F9">
        <v>26584.912688923116</v>
      </c>
      <c r="G9">
        <v>31135.405330347661</v>
      </c>
      <c r="H9">
        <v>32257.413480316998</v>
      </c>
      <c r="I9">
        <v>40230.940219643628</v>
      </c>
      <c r="J9">
        <v>28527.272930005616</v>
      </c>
      <c r="K9">
        <v>104663.76156160222</v>
      </c>
      <c r="L9">
        <v>34172.657562237247</v>
      </c>
      <c r="M9">
        <v>27354.919597260112</v>
      </c>
      <c r="N9">
        <v>54982.261219426495</v>
      </c>
      <c r="O9">
        <v>34036.843295678496</v>
      </c>
      <c r="P9">
        <v>27568.992955284419</v>
      </c>
      <c r="Q9">
        <v>50224.719593149894</v>
      </c>
      <c r="R9">
        <v>42957.918400762304</v>
      </c>
      <c r="S9">
        <v>37698.34117321833</v>
      </c>
      <c r="T9">
        <v>28455.350961360506</v>
      </c>
      <c r="U9">
        <v>26965.578671064904</v>
      </c>
      <c r="V9">
        <v>35714.04558800743</v>
      </c>
      <c r="W9">
        <v>32001.487144421983</v>
      </c>
      <c r="X9">
        <v>30696.062626759853</v>
      </c>
      <c r="Y9">
        <v>32339.656045384916</v>
      </c>
      <c r="Z9">
        <v>85035.636443940952</v>
      </c>
      <c r="AA9">
        <v>17967.72897823315</v>
      </c>
      <c r="AB9">
        <v>25967.072144887363</v>
      </c>
      <c r="AC9">
        <v>38932.772475766069</v>
      </c>
      <c r="AD9">
        <v>33741.508767052874</v>
      </c>
      <c r="AE9">
        <v>34968.820393235648</v>
      </c>
      <c r="AF9">
        <v>92819.937107205595</v>
      </c>
      <c r="AG9">
        <v>57427.204419640933</v>
      </c>
    </row>
    <row r="10" spans="1:33" x14ac:dyDescent="0.25">
      <c r="A10" t="s">
        <v>8</v>
      </c>
      <c r="B10">
        <v>55579.74751990095</v>
      </c>
      <c r="C10">
        <v>55727.994684426856</v>
      </c>
      <c r="D10">
        <v>22406.008581877475</v>
      </c>
      <c r="E10">
        <v>22017.646384866217</v>
      </c>
      <c r="F10">
        <v>27198.527922300418</v>
      </c>
      <c r="G10">
        <v>51261.090270043744</v>
      </c>
      <c r="H10">
        <v>32058.43496074848</v>
      </c>
      <c r="I10">
        <v>71551.574154509057</v>
      </c>
      <c r="J10">
        <v>27047.541949256898</v>
      </c>
      <c r="K10">
        <v>31184.917675485151</v>
      </c>
      <c r="L10">
        <v>51577.797572361247</v>
      </c>
      <c r="M10">
        <v>27607.660923519263</v>
      </c>
      <c r="N10">
        <v>91959.603553234789</v>
      </c>
      <c r="O10">
        <v>45246.499906921686</v>
      </c>
      <c r="P10">
        <v>25866.311061813587</v>
      </c>
      <c r="Q10">
        <v>87118.7537941388</v>
      </c>
      <c r="R10">
        <v>42251.834605847522</v>
      </c>
      <c r="S10">
        <v>129129.89414622205</v>
      </c>
      <c r="T10">
        <v>29095.611061577016</v>
      </c>
      <c r="U10">
        <v>191237.66330084039</v>
      </c>
      <c r="V10">
        <v>24589.769802101124</v>
      </c>
      <c r="W10">
        <v>42352.912083125702</v>
      </c>
      <c r="X10">
        <v>40698.750920091312</v>
      </c>
      <c r="Y10">
        <v>75291.276995800552</v>
      </c>
      <c r="Z10">
        <v>51308.390403987825</v>
      </c>
      <c r="AA10">
        <v>121136.10085421149</v>
      </c>
      <c r="AB10">
        <v>62513.993582641313</v>
      </c>
      <c r="AC10">
        <v>80244.266498853685</v>
      </c>
      <c r="AD10">
        <v>62202.733139235082</v>
      </c>
      <c r="AE10">
        <v>47880.527787531057</v>
      </c>
      <c r="AF10">
        <v>24411.58988722229</v>
      </c>
      <c r="AG10">
        <v>52702.734233211435</v>
      </c>
    </row>
    <row r="11" spans="1:33" x14ac:dyDescent="0.25">
      <c r="A11" t="s">
        <v>9</v>
      </c>
      <c r="B11">
        <v>14767.441039672452</v>
      </c>
      <c r="C11">
        <v>10498.136601210686</v>
      </c>
      <c r="D11">
        <v>14393.022603133197</v>
      </c>
      <c r="E11">
        <v>11068.376404115847</v>
      </c>
      <c r="F11">
        <v>10521.242360145607</v>
      </c>
      <c r="G11">
        <v>10679.827836687855</v>
      </c>
      <c r="H11">
        <v>18812.99738972944</v>
      </c>
      <c r="I11">
        <v>12673.906908548994</v>
      </c>
      <c r="J11">
        <v>13279.862564788711</v>
      </c>
      <c r="K11">
        <v>12093.169438598274</v>
      </c>
      <c r="L11">
        <v>12769.414821711471</v>
      </c>
      <c r="M11">
        <v>13818.719198796789</v>
      </c>
      <c r="N11">
        <v>10797.92545581641</v>
      </c>
      <c r="O11">
        <v>16832.200071207168</v>
      </c>
      <c r="P11">
        <v>14376.117019686402</v>
      </c>
      <c r="Q11">
        <v>10635.386127841553</v>
      </c>
      <c r="R11">
        <v>11733.954994899254</v>
      </c>
      <c r="S11">
        <v>12835.802793149101</v>
      </c>
      <c r="T11">
        <v>14842.649635596814</v>
      </c>
      <c r="U11">
        <v>12374.870086176448</v>
      </c>
      <c r="V11">
        <v>10521.468168881704</v>
      </c>
      <c r="W11">
        <v>10166.259221385313</v>
      </c>
      <c r="X11">
        <v>12556.556995933995</v>
      </c>
      <c r="Y11">
        <v>12698.832949379284</v>
      </c>
      <c r="Z11">
        <v>12471.566945294575</v>
      </c>
      <c r="AA11">
        <v>12060.324452299075</v>
      </c>
      <c r="AB11">
        <v>11676.313417138514</v>
      </c>
      <c r="AC11">
        <v>9904.5078649038405</v>
      </c>
      <c r="AD11">
        <v>9277.7155673010111</v>
      </c>
      <c r="AE11">
        <v>11347.366538085997</v>
      </c>
      <c r="AF11">
        <v>12838.838226259042</v>
      </c>
      <c r="AG11">
        <v>10523.483246060996</v>
      </c>
    </row>
    <row r="12" spans="1:33" x14ac:dyDescent="0.25">
      <c r="A12" t="s">
        <v>10</v>
      </c>
      <c r="B12">
        <v>19387.727533141675</v>
      </c>
      <c r="C12">
        <v>8371.1516916465716</v>
      </c>
      <c r="D12">
        <v>14792.523148201097</v>
      </c>
      <c r="E12">
        <v>13998.641004696747</v>
      </c>
      <c r="F12">
        <v>14204.213432445096</v>
      </c>
      <c r="G12">
        <v>12260.469174875534</v>
      </c>
      <c r="H12">
        <v>18799.011192392783</v>
      </c>
      <c r="I12">
        <v>17810.822043456945</v>
      </c>
      <c r="J12">
        <v>15115.315373483872</v>
      </c>
      <c r="K12">
        <v>16525.99036054956</v>
      </c>
      <c r="L12">
        <v>15398.641462796892</v>
      </c>
      <c r="M12">
        <v>13246.589034679011</v>
      </c>
      <c r="N12">
        <v>13416.617284120864</v>
      </c>
      <c r="O12">
        <v>15458.894747202576</v>
      </c>
      <c r="P12">
        <v>11705.703057772404</v>
      </c>
      <c r="Q12">
        <v>17290.318725198129</v>
      </c>
      <c r="R12">
        <v>12724.525355234638</v>
      </c>
      <c r="S12">
        <v>12325.279037186448</v>
      </c>
      <c r="T12">
        <v>12218.833671474678</v>
      </c>
      <c r="U12">
        <v>12063.680424285179</v>
      </c>
      <c r="V12">
        <v>10756.537567758096</v>
      </c>
      <c r="W12">
        <v>11002.209665810664</v>
      </c>
      <c r="X12">
        <v>10661.216793629588</v>
      </c>
      <c r="Y12">
        <v>13971.400383692568</v>
      </c>
      <c r="Z12">
        <v>14576.542315032093</v>
      </c>
      <c r="AA12">
        <v>14747.999578789972</v>
      </c>
      <c r="AB12">
        <v>14062.537252511902</v>
      </c>
      <c r="AC12">
        <v>14644.503331080003</v>
      </c>
      <c r="AD12">
        <v>12536.997727387854</v>
      </c>
      <c r="AE12">
        <v>13302.055150379983</v>
      </c>
      <c r="AF12">
        <v>14451.64836241157</v>
      </c>
      <c r="AG12">
        <v>15863.026652216435</v>
      </c>
    </row>
    <row r="13" spans="1:33" x14ac:dyDescent="0.25">
      <c r="A13" t="s">
        <v>11</v>
      </c>
      <c r="B13">
        <v>10544.552063595514</v>
      </c>
      <c r="C13">
        <v>10849.784436121117</v>
      </c>
      <c r="D13">
        <v>11260.302758994485</v>
      </c>
      <c r="E13">
        <v>11125.396387232828</v>
      </c>
      <c r="F13">
        <v>6934.4626967581225</v>
      </c>
      <c r="G13">
        <v>9086.4501267342966</v>
      </c>
      <c r="H13">
        <v>13094.142886216432</v>
      </c>
      <c r="I13">
        <v>8669.8781099400112</v>
      </c>
      <c r="J13">
        <v>12018.168956546555</v>
      </c>
      <c r="K13">
        <v>10362.019867564133</v>
      </c>
      <c r="L13">
        <v>9076.2037880454918</v>
      </c>
      <c r="M13">
        <v>10033.642272545763</v>
      </c>
      <c r="N13">
        <v>7507.3413710371697</v>
      </c>
      <c r="O13">
        <v>9802.878396741462</v>
      </c>
      <c r="P13">
        <v>9106.5164218539085</v>
      </c>
      <c r="Q13">
        <v>9223.6363418877863</v>
      </c>
      <c r="R13">
        <v>10536.815426763933</v>
      </c>
      <c r="S13">
        <v>9170.0366189049528</v>
      </c>
      <c r="T13">
        <v>10795.189113674969</v>
      </c>
      <c r="U13">
        <v>9986.332330619407</v>
      </c>
      <c r="V13">
        <v>10931.445782168252</v>
      </c>
      <c r="W13">
        <v>7790.4000232833478</v>
      </c>
      <c r="X13">
        <v>9242.9334795953946</v>
      </c>
      <c r="Y13">
        <v>9323.8055066319048</v>
      </c>
      <c r="Z13">
        <v>13521.632117419736</v>
      </c>
      <c r="AA13">
        <v>10560.012828312443</v>
      </c>
      <c r="AB13">
        <v>10612.347661276581</v>
      </c>
      <c r="AC13">
        <v>10958.785339062233</v>
      </c>
      <c r="AD13">
        <v>8423.2258036969833</v>
      </c>
      <c r="AE13">
        <v>9379.7930499139984</v>
      </c>
      <c r="AF13">
        <v>9939.4643813266321</v>
      </c>
      <c r="AG13">
        <v>9123.6359501249426</v>
      </c>
    </row>
    <row r="14" spans="1:33" x14ac:dyDescent="0.25">
      <c r="A14" t="s">
        <v>12</v>
      </c>
      <c r="B14">
        <v>14260.31675091557</v>
      </c>
      <c r="C14">
        <v>13329.850899835692</v>
      </c>
      <c r="D14">
        <v>14602.728921915248</v>
      </c>
      <c r="E14">
        <v>10904.740586792881</v>
      </c>
      <c r="F14">
        <v>10744.492020617607</v>
      </c>
      <c r="G14">
        <v>8852.407351370568</v>
      </c>
      <c r="H14">
        <v>17623.654838829651</v>
      </c>
      <c r="I14">
        <v>14703.476078904529</v>
      </c>
      <c r="J14">
        <v>13084.524798529335</v>
      </c>
      <c r="K14">
        <v>14460.068817511703</v>
      </c>
      <c r="L14">
        <v>11203.199004399703</v>
      </c>
      <c r="M14">
        <v>10963.881790540916</v>
      </c>
      <c r="N14">
        <v>9327.9784079461715</v>
      </c>
      <c r="O14">
        <v>10992.219823942756</v>
      </c>
      <c r="P14">
        <v>12383.671624651604</v>
      </c>
      <c r="Q14">
        <v>9729.0592983786883</v>
      </c>
      <c r="R14">
        <v>12349.885550989842</v>
      </c>
      <c r="S14">
        <v>11608.657469707032</v>
      </c>
      <c r="T14">
        <v>12468.257399710197</v>
      </c>
      <c r="U14">
        <v>11142.120184835254</v>
      </c>
      <c r="V14">
        <v>8178.4005554464657</v>
      </c>
      <c r="W14">
        <v>8363.2434558972309</v>
      </c>
      <c r="X14">
        <v>9772.0572865226568</v>
      </c>
      <c r="Y14">
        <v>10986.724415482913</v>
      </c>
      <c r="Z14">
        <v>9874.8262624464351</v>
      </c>
      <c r="AA14">
        <v>10831.526288785071</v>
      </c>
      <c r="AB14">
        <v>10223.471858136179</v>
      </c>
      <c r="AC14">
        <v>10130.918919521995</v>
      </c>
      <c r="AD14">
        <v>9782.1918066537564</v>
      </c>
      <c r="AE14">
        <v>8648.1362895738912</v>
      </c>
      <c r="AF14">
        <v>11765.299482674289</v>
      </c>
      <c r="AG14">
        <v>11243.711212012993</v>
      </c>
    </row>
    <row r="15" spans="1:33" x14ac:dyDescent="0.25">
      <c r="A15" t="s">
        <v>13</v>
      </c>
      <c r="B15">
        <v>12341.627449637021</v>
      </c>
      <c r="C15">
        <v>12020.545990976867</v>
      </c>
      <c r="D15">
        <v>14141.012194963118</v>
      </c>
      <c r="E15">
        <v>13247.008333407426</v>
      </c>
      <c r="F15">
        <v>11967.987372786989</v>
      </c>
      <c r="G15">
        <v>9456.6132339703981</v>
      </c>
      <c r="H15">
        <v>18796.430734102003</v>
      </c>
      <c r="I15">
        <v>10626.623110381808</v>
      </c>
      <c r="J15">
        <v>10787.978206990443</v>
      </c>
      <c r="K15">
        <v>10934.997975672293</v>
      </c>
      <c r="L15">
        <v>11378.525235541954</v>
      </c>
      <c r="M15">
        <v>11645.383802217322</v>
      </c>
      <c r="N15">
        <v>9324.4233806851371</v>
      </c>
      <c r="O15">
        <v>9112.8120252070439</v>
      </c>
      <c r="P15">
        <v>11101.07068034805</v>
      </c>
      <c r="Q15">
        <v>10726.335856749518</v>
      </c>
      <c r="R15">
        <v>13193.245775234309</v>
      </c>
      <c r="S15">
        <v>12243.931587958536</v>
      </c>
      <c r="T15">
        <v>11982.606332483803</v>
      </c>
      <c r="U15">
        <v>11743.190860439061</v>
      </c>
      <c r="V15">
        <v>10365.176092158812</v>
      </c>
      <c r="W15">
        <v>9251.9798767484281</v>
      </c>
      <c r="X15">
        <v>12301.545470713412</v>
      </c>
      <c r="Y15">
        <v>10928.977099373369</v>
      </c>
      <c r="Z15">
        <v>10643.624458638984</v>
      </c>
      <c r="AA15">
        <v>11856.692205624087</v>
      </c>
      <c r="AB15">
        <v>12062.879569568682</v>
      </c>
      <c r="AC15">
        <v>9790.9887738796133</v>
      </c>
      <c r="AD15">
        <v>9343.3395775156077</v>
      </c>
      <c r="AE15">
        <v>11240.515209346002</v>
      </c>
      <c r="AF15">
        <v>11371.561430065782</v>
      </c>
      <c r="AG15">
        <v>11367.009344862396</v>
      </c>
    </row>
    <row r="16" spans="1:33" x14ac:dyDescent="0.25">
      <c r="A16" t="s">
        <v>14</v>
      </c>
      <c r="B16">
        <v>40881.604431245978</v>
      </c>
      <c r="C16">
        <v>86268.472252086154</v>
      </c>
      <c r="D16">
        <v>45914.182512011488</v>
      </c>
      <c r="E16">
        <v>34676.787742791537</v>
      </c>
      <c r="F16">
        <v>31144.665029062162</v>
      </c>
      <c r="G16">
        <v>31646.330031129386</v>
      </c>
      <c r="H16">
        <v>34103.722990954207</v>
      </c>
      <c r="I16">
        <v>37760.355511186433</v>
      </c>
      <c r="J16">
        <v>41829.841748854706</v>
      </c>
      <c r="K16">
        <v>32419.694714427351</v>
      </c>
      <c r="L16">
        <v>30651.718128104709</v>
      </c>
      <c r="M16">
        <v>32305.986089022132</v>
      </c>
      <c r="N16">
        <v>33913.38598579762</v>
      </c>
      <c r="O16">
        <v>65414.037531198024</v>
      </c>
      <c r="P16">
        <v>31429.692420525404</v>
      </c>
      <c r="Q16">
        <v>37675.71384034153</v>
      </c>
      <c r="R16">
        <v>29383.15549026076</v>
      </c>
      <c r="S16">
        <v>24920.500337913923</v>
      </c>
      <c r="T16">
        <v>25187.744095908518</v>
      </c>
      <c r="U16">
        <v>29111.512919164183</v>
      </c>
      <c r="V16">
        <v>25091.548361557529</v>
      </c>
      <c r="W16">
        <v>22167.951641181055</v>
      </c>
      <c r="X16">
        <v>27600.910185471163</v>
      </c>
      <c r="Y16">
        <v>26638.729661281453</v>
      </c>
      <c r="Z16">
        <v>23186.204141578717</v>
      </c>
      <c r="AA16">
        <v>20670.743343913506</v>
      </c>
      <c r="AB16">
        <v>25958.851800319171</v>
      </c>
      <c r="AC16">
        <v>21723.560443903563</v>
      </c>
      <c r="AD16">
        <v>27044.938345835872</v>
      </c>
      <c r="AE16">
        <v>26750.900803035773</v>
      </c>
      <c r="AF16">
        <v>24524.253074044122</v>
      </c>
      <c r="AG16">
        <v>23396.802428400319</v>
      </c>
    </row>
    <row r="17" spans="1:33" x14ac:dyDescent="0.25">
      <c r="A17" t="s">
        <v>15</v>
      </c>
      <c r="B17">
        <v>25215.913100843554</v>
      </c>
      <c r="C17">
        <v>31336.556398993365</v>
      </c>
      <c r="D17">
        <v>24802.780735161818</v>
      </c>
      <c r="E17">
        <v>16441.066098534844</v>
      </c>
      <c r="F17">
        <v>16527.673327957782</v>
      </c>
      <c r="G17">
        <v>29976.04562205702</v>
      </c>
      <c r="H17">
        <v>25785.066131005078</v>
      </c>
      <c r="I17">
        <v>21302.208564185345</v>
      </c>
      <c r="J17">
        <v>24391.454929108488</v>
      </c>
      <c r="K17">
        <v>26516.042089695751</v>
      </c>
      <c r="L17">
        <v>25378.017046300083</v>
      </c>
      <c r="M17">
        <v>21873.179975399271</v>
      </c>
      <c r="N17">
        <v>25751.047728973354</v>
      </c>
      <c r="O17">
        <v>17793.536328372407</v>
      </c>
      <c r="P17">
        <v>29594.621073290306</v>
      </c>
      <c r="Q17">
        <v>21831.819591856645</v>
      </c>
      <c r="R17">
        <v>16537.013257501785</v>
      </c>
      <c r="S17">
        <v>13801.376051934853</v>
      </c>
      <c r="T17">
        <v>16571.933217771399</v>
      </c>
      <c r="U17">
        <v>14417.405087425897</v>
      </c>
      <c r="V17">
        <v>10147.498411652456</v>
      </c>
      <c r="W17">
        <v>20066.447894867528</v>
      </c>
      <c r="X17">
        <v>16479.560898971857</v>
      </c>
      <c r="Y17">
        <v>14579.837839430918</v>
      </c>
      <c r="Z17">
        <v>15755.93200366804</v>
      </c>
      <c r="AA17">
        <v>13228.814867919817</v>
      </c>
      <c r="AB17">
        <v>20065.927300400668</v>
      </c>
      <c r="AC17">
        <v>21234.306943800082</v>
      </c>
      <c r="AD17">
        <v>18518.462187109151</v>
      </c>
      <c r="AE17">
        <v>20724.721681364132</v>
      </c>
      <c r="AF17">
        <v>15981.208448609534</v>
      </c>
      <c r="AG17">
        <v>14049.712996227838</v>
      </c>
    </row>
    <row r="18" spans="1:33" x14ac:dyDescent="0.25">
      <c r="A18" t="s">
        <v>16</v>
      </c>
      <c r="B18">
        <v>28300.552992594312</v>
      </c>
      <c r="C18">
        <v>40640.959572125699</v>
      </c>
      <c r="D18">
        <v>29192.721329112966</v>
      </c>
      <c r="E18">
        <v>22862.210312560714</v>
      </c>
      <c r="F18">
        <v>23143.298931079982</v>
      </c>
      <c r="G18">
        <v>25455.952339431107</v>
      </c>
      <c r="H18">
        <v>27055.816136287238</v>
      </c>
      <c r="I18">
        <v>28010.312277321285</v>
      </c>
      <c r="J18">
        <v>24264.064820523708</v>
      </c>
      <c r="K18">
        <v>37333.214287991323</v>
      </c>
      <c r="L18">
        <v>25211.560639970656</v>
      </c>
      <c r="M18">
        <v>23476.105476018951</v>
      </c>
      <c r="N18">
        <v>32498.687491879868</v>
      </c>
      <c r="O18">
        <v>32939.520491912583</v>
      </c>
      <c r="P18">
        <v>37061.220228263759</v>
      </c>
      <c r="Q18">
        <v>31023.664608479776</v>
      </c>
      <c r="R18">
        <v>26779.661989097367</v>
      </c>
      <c r="S18">
        <v>29777.016907304747</v>
      </c>
      <c r="T18">
        <v>22132.397514849446</v>
      </c>
      <c r="U18">
        <v>33412.484555450588</v>
      </c>
      <c r="V18">
        <v>28361.786897957045</v>
      </c>
      <c r="W18">
        <v>21378.368042538794</v>
      </c>
      <c r="X18">
        <v>23919.198957144388</v>
      </c>
      <c r="Y18">
        <v>31667.902352323828</v>
      </c>
      <c r="Z18">
        <v>33637.355985259026</v>
      </c>
      <c r="AA18">
        <v>28146.406686749884</v>
      </c>
      <c r="AB18">
        <v>29804.537046276015</v>
      </c>
      <c r="AC18">
        <v>26647.989238661565</v>
      </c>
      <c r="AD18">
        <v>30398.609367083915</v>
      </c>
      <c r="AE18">
        <v>31558.109384847889</v>
      </c>
      <c r="AF18">
        <v>29593.584059516284</v>
      </c>
      <c r="AG18">
        <v>27271.310180202065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27966.689612111881</v>
      </c>
      <c r="C20" s="3">
        <f t="shared" ref="C20:AG20" si="0">AVERAGE(C4:C18)</f>
        <v>41433.20933263519</v>
      </c>
      <c r="D20" s="3">
        <f t="shared" si="0"/>
        <v>29423.044132766121</v>
      </c>
      <c r="E20" s="3">
        <f t="shared" si="0"/>
        <v>22035.016518791886</v>
      </c>
      <c r="F20" s="3">
        <f t="shared" si="0"/>
        <v>22633.215535882202</v>
      </c>
      <c r="G20" s="3">
        <f t="shared" si="0"/>
        <v>24637.62426609097</v>
      </c>
      <c r="H20" s="3">
        <f t="shared" si="0"/>
        <v>26238.989885701274</v>
      </c>
      <c r="I20" s="3">
        <f t="shared" si="0"/>
        <v>27705.359199404666</v>
      </c>
      <c r="J20" s="3">
        <f t="shared" si="0"/>
        <v>23872.602541818182</v>
      </c>
      <c r="K20" s="3">
        <f t="shared" si="0"/>
        <v>34601.509316503812</v>
      </c>
      <c r="L20" s="3">
        <f t="shared" si="0"/>
        <v>25163.423708312635</v>
      </c>
      <c r="M20" s="3">
        <f t="shared" si="0"/>
        <v>23271.506334093581</v>
      </c>
      <c r="N20" s="3">
        <f t="shared" si="0"/>
        <v>32598.671751809474</v>
      </c>
      <c r="O20" s="3">
        <f t="shared" si="0"/>
        <v>26290.98853890695</v>
      </c>
      <c r="P20" s="3">
        <f t="shared" si="0"/>
        <v>25804.366135361328</v>
      </c>
      <c r="Q20" s="4">
        <f t="shared" si="0"/>
        <v>31169.82458455873</v>
      </c>
      <c r="R20" s="2">
        <f t="shared" si="0"/>
        <v>26149.380999692381</v>
      </c>
      <c r="S20" s="3">
        <f t="shared" si="0"/>
        <v>28884.404363379716</v>
      </c>
      <c r="T20" s="3">
        <f t="shared" si="0"/>
        <v>21066.469656846042</v>
      </c>
      <c r="U20" s="3">
        <f t="shared" si="0"/>
        <v>33477.910631868544</v>
      </c>
      <c r="V20" s="3">
        <f t="shared" si="0"/>
        <v>25405.229929763726</v>
      </c>
      <c r="W20" s="3">
        <f t="shared" si="0"/>
        <v>21326.618324347397</v>
      </c>
      <c r="X20" s="3">
        <f t="shared" si="0"/>
        <v>23047.88618108998</v>
      </c>
      <c r="Y20" s="3">
        <f t="shared" si="0"/>
        <v>29210.375767432641</v>
      </c>
      <c r="Z20" s="3">
        <f t="shared" si="0"/>
        <v>33375.405080095246</v>
      </c>
      <c r="AA20" s="3">
        <f t="shared" si="0"/>
        <v>27185.220939362367</v>
      </c>
      <c r="AB20" s="3">
        <f t="shared" si="0"/>
        <v>27100.215380074125</v>
      </c>
      <c r="AC20" s="3">
        <f t="shared" si="0"/>
        <v>26415.29798156365</v>
      </c>
      <c r="AD20" s="3">
        <f t="shared" si="0"/>
        <v>30978.939454278952</v>
      </c>
      <c r="AE20" s="3">
        <f t="shared" si="0"/>
        <v>29956.481324075656</v>
      </c>
      <c r="AF20" s="3">
        <f t="shared" si="0"/>
        <v>29068.883778953732</v>
      </c>
      <c r="AG20" s="3">
        <f t="shared" si="0"/>
        <v>26951.410350704358</v>
      </c>
    </row>
    <row r="21" spans="1:33" x14ac:dyDescent="0.25">
      <c r="A21" s="2" t="s">
        <v>34</v>
      </c>
      <c r="B21" s="3">
        <f>_xlfn.STDEV.S(B4:B18)</f>
        <v>13294.226627985478</v>
      </c>
      <c r="C21" s="3">
        <f t="shared" ref="C21:AG21" si="1">_xlfn.STDEV.S(C4:C18)</f>
        <v>43071.351312045896</v>
      </c>
      <c r="D21" s="3">
        <f t="shared" si="1"/>
        <v>22637.703767635769</v>
      </c>
      <c r="E21" s="3">
        <f t="shared" si="1"/>
        <v>9838.7765148259605</v>
      </c>
      <c r="F21" s="3">
        <f t="shared" si="1"/>
        <v>9852.4593667295048</v>
      </c>
      <c r="G21" s="3">
        <f t="shared" si="1"/>
        <v>12681.859174194728</v>
      </c>
      <c r="H21" s="3">
        <f t="shared" si="1"/>
        <v>7138.9819163872662</v>
      </c>
      <c r="I21" s="3">
        <f t="shared" si="1"/>
        <v>16069.501156149265</v>
      </c>
      <c r="J21" s="3">
        <f t="shared" si="1"/>
        <v>10061.925029166385</v>
      </c>
      <c r="K21" s="3">
        <f t="shared" si="1"/>
        <v>29682.681016361093</v>
      </c>
      <c r="L21" s="3">
        <f t="shared" si="1"/>
        <v>12061.520066459381</v>
      </c>
      <c r="M21" s="3">
        <f t="shared" si="1"/>
        <v>9429.9878845495678</v>
      </c>
      <c r="N21" s="3">
        <f t="shared" si="1"/>
        <v>23324.113073087883</v>
      </c>
      <c r="O21" s="3">
        <f t="shared" si="1"/>
        <v>16041.368055601435</v>
      </c>
      <c r="P21" s="3">
        <f t="shared" si="1"/>
        <v>12447.311590824796</v>
      </c>
      <c r="Q21" s="4">
        <f t="shared" si="1"/>
        <v>22108.870258775591</v>
      </c>
      <c r="R21" s="2">
        <f t="shared" si="1"/>
        <v>14313.671379220954</v>
      </c>
      <c r="S21" s="3">
        <f t="shared" si="1"/>
        <v>29296.432051625121</v>
      </c>
      <c r="T21" s="3">
        <f t="shared" si="1"/>
        <v>7048.1124882887643</v>
      </c>
      <c r="U21" s="3">
        <f t="shared" si="1"/>
        <v>44776.7157306683</v>
      </c>
      <c r="V21" s="3">
        <f t="shared" si="1"/>
        <v>17161.124247085372</v>
      </c>
      <c r="W21" s="3">
        <f t="shared" si="1"/>
        <v>10628.493241145407</v>
      </c>
      <c r="X21" s="3">
        <f t="shared" si="1"/>
        <v>10424.816583560492</v>
      </c>
      <c r="Y21" s="3">
        <f t="shared" si="1"/>
        <v>19732.165463964953</v>
      </c>
      <c r="Z21" s="3">
        <f t="shared" si="1"/>
        <v>24788.430153955906</v>
      </c>
      <c r="AA21" s="3">
        <f t="shared" si="1"/>
        <v>27404.164199900948</v>
      </c>
      <c r="AB21" s="3">
        <f t="shared" si="1"/>
        <v>15807.171466575786</v>
      </c>
      <c r="AC21" s="3">
        <f t="shared" si="1"/>
        <v>17873.058589357213</v>
      </c>
      <c r="AD21" s="3">
        <f t="shared" si="1"/>
        <v>22388.378318510076</v>
      </c>
      <c r="AE21" s="3">
        <f t="shared" si="1"/>
        <v>19993.321786549041</v>
      </c>
      <c r="AF21" s="3">
        <f t="shared" si="1"/>
        <v>23982.056841549493</v>
      </c>
      <c r="AG21" s="3">
        <f t="shared" si="1"/>
        <v>16605.29528469728</v>
      </c>
    </row>
    <row r="22" spans="1:33" x14ac:dyDescent="0.25">
      <c r="A22" s="2" t="s">
        <v>35</v>
      </c>
      <c r="B22" s="3">
        <f>AVERAGE(B4:Q18)</f>
        <v>27802.877587171828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27475.00813397051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19192.997459542486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21549.118511411041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26712.625412970388</v>
      </c>
      <c r="C26" s="2">
        <f>AVERAGE(C20,E20,G20,I20,K20,M20,O20,Q20)</f>
        <v>28893.12976137322</v>
      </c>
      <c r="E26" s="2">
        <f>AVERAGE(D20,E20,F20,G20,H20,I20)</f>
        <v>25445.541589772853</v>
      </c>
      <c r="F26" s="2">
        <f>AVERAGE(L20:Q20)</f>
        <v>27383.130175507114</v>
      </c>
      <c r="G26" s="2">
        <f>AVERAGE(B20,C20,J20,K20)</f>
        <v>31968.502700767265</v>
      </c>
      <c r="Q26" s="5"/>
      <c r="R26" s="2">
        <f>AVERAGE(R20,T20,V20,X20,Z20,AB20,AD20,AF20)</f>
        <v>27024.051307599275</v>
      </c>
      <c r="S26" s="2">
        <f>AVERAGE(S20,U20,W20,Y20,AA20,AC20,AE20,AG20)</f>
        <v>27925.964960341789</v>
      </c>
      <c r="U26" s="2">
        <f>AVERAGE(T20:Y20)</f>
        <v>25589.081748558052</v>
      </c>
      <c r="V26" s="2">
        <f>AVERAGE(AB20:AG20)</f>
        <v>28411.871378275075</v>
      </c>
      <c r="W26" s="2">
        <f>AVERAGE(R20:S20,Z20:AA20)</f>
        <v>28898.602845632427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0.37240885586102257</v>
      </c>
      <c r="C28" s="3">
        <f t="shared" ref="C28:Q28" si="2">_xlfn.T.TEST(C4:C18,S4:S18,2,1)</f>
        <v>0.31473316425815245</v>
      </c>
      <c r="D28" s="3">
        <f t="shared" si="2"/>
        <v>0.13432592042527514</v>
      </c>
      <c r="E28" s="3">
        <f t="shared" si="2"/>
        <v>0.3353738624660858</v>
      </c>
      <c r="F28" s="3">
        <f t="shared" si="2"/>
        <v>0.34863832578313758</v>
      </c>
      <c r="G28" s="3">
        <f t="shared" si="2"/>
        <v>0.10948500874276366</v>
      </c>
      <c r="H28" s="3">
        <f t="shared" si="2"/>
        <v>4.5094436920976907E-2</v>
      </c>
      <c r="I28" s="3">
        <f t="shared" si="2"/>
        <v>0.61634739187519394</v>
      </c>
      <c r="J28" s="3">
        <f t="shared" si="2"/>
        <v>0.13083702858999252</v>
      </c>
      <c r="K28" s="3">
        <f t="shared" si="2"/>
        <v>0.47305942458630612</v>
      </c>
      <c r="L28" s="3">
        <f t="shared" si="2"/>
        <v>0.36192429185504427</v>
      </c>
      <c r="M28" s="3">
        <f t="shared" si="2"/>
        <v>0.43421353892757775</v>
      </c>
      <c r="N28" s="3">
        <f t="shared" si="2"/>
        <v>0.69371684836431802</v>
      </c>
      <c r="O28" s="3">
        <f t="shared" si="2"/>
        <v>0.41323312721700933</v>
      </c>
      <c r="P28" s="3">
        <f t="shared" si="2"/>
        <v>0.55101047321267305</v>
      </c>
      <c r="Q28" s="3">
        <f t="shared" si="2"/>
        <v>0.16261609137433641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8"/>
  <sheetViews>
    <sheetView tabSelected="1" workbookViewId="0">
      <selection activeCell="K26" sqref="K26"/>
    </sheetView>
  </sheetViews>
  <sheetFormatPr defaultRowHeight="15" x14ac:dyDescent="0.25"/>
  <cols>
    <col min="1" max="1" width="7.7109375" customWidth="1"/>
    <col min="2" max="2" width="12.140625" customWidth="1"/>
    <col min="3" max="3" width="13.85546875" customWidth="1"/>
    <col min="4" max="4" width="12.140625" customWidth="1"/>
    <col min="5" max="5" width="13.85546875" customWidth="1"/>
    <col min="6" max="6" width="12.140625" customWidth="1"/>
    <col min="7" max="7" width="13.85546875" customWidth="1"/>
    <col min="8" max="8" width="12.140625" customWidth="1"/>
    <col min="9" max="9" width="13.85546875" customWidth="1"/>
    <col min="10" max="10" width="12.140625" customWidth="1"/>
    <col min="11" max="11" width="13.85546875" customWidth="1"/>
    <col min="12" max="12" width="12.140625" customWidth="1"/>
    <col min="13" max="13" width="13.85546875" customWidth="1"/>
    <col min="14" max="14" width="12.140625" customWidth="1"/>
    <col min="15" max="15" width="13.85546875" customWidth="1"/>
    <col min="16" max="16" width="12.140625" customWidth="1"/>
    <col min="17" max="17" width="13.85546875" customWidth="1"/>
    <col min="18" max="18" width="12.140625" customWidth="1"/>
    <col min="19" max="19" width="13.85546875" customWidth="1"/>
    <col min="20" max="20" width="12.140625" customWidth="1"/>
    <col min="21" max="21" width="13.85546875" customWidth="1"/>
    <col min="22" max="22" width="12.140625" customWidth="1"/>
    <col min="23" max="23" width="13.85546875" customWidth="1"/>
    <col min="24" max="24" width="12.140625" customWidth="1"/>
    <col min="25" max="25" width="13.85546875" customWidth="1"/>
    <col min="26" max="26" width="12.140625" customWidth="1"/>
    <col min="27" max="27" width="13.85546875" customWidth="1"/>
    <col min="28" max="28" width="12.140625" customWidth="1"/>
    <col min="29" max="29" width="13.85546875" customWidth="1"/>
    <col min="30" max="30" width="12.140625" customWidth="1"/>
    <col min="31" max="31" width="13.85546875" customWidth="1"/>
    <col min="32" max="32" width="12.140625" customWidth="1"/>
    <col min="33" max="33" width="13.85546875" customWidth="1"/>
  </cols>
  <sheetData>
    <row r="1" spans="1:33" x14ac:dyDescent="0.25">
      <c r="B1" s="9" t="s">
        <v>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9" t="s">
        <v>44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5">
      <c r="A2" t="s">
        <v>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t="s">
        <v>1</v>
      </c>
      <c r="B3">
        <v>7630.990666610568</v>
      </c>
      <c r="C3">
        <v>7232.1326887318082</v>
      </c>
      <c r="D3">
        <v>5812.1908425320544</v>
      </c>
      <c r="E3">
        <v>7571.752433986293</v>
      </c>
      <c r="F3">
        <v>6216.9612634507703</v>
      </c>
      <c r="G3">
        <v>7452.694271793609</v>
      </c>
      <c r="H3">
        <v>6054.5254474837911</v>
      </c>
      <c r="I3">
        <v>7247.8136023728184</v>
      </c>
      <c r="J3">
        <v>8026.597466985053</v>
      </c>
      <c r="K3">
        <v>8034.6162519530799</v>
      </c>
      <c r="L3">
        <v>6708.5208183866598</v>
      </c>
      <c r="M3">
        <v>7039.8346137162516</v>
      </c>
      <c r="N3">
        <v>6713.6230260558168</v>
      </c>
      <c r="O3">
        <v>8171.7372233322731</v>
      </c>
      <c r="P3">
        <v>13497.308777763861</v>
      </c>
      <c r="Q3">
        <v>7122.8083143173953</v>
      </c>
      <c r="R3">
        <v>7676.8680062491676</v>
      </c>
      <c r="S3">
        <v>7209.7327840666585</v>
      </c>
      <c r="T3">
        <v>6525.9888423136808</v>
      </c>
      <c r="U3">
        <v>7158.5245373803482</v>
      </c>
      <c r="V3">
        <v>9633.4303501204668</v>
      </c>
      <c r="W3">
        <v>6720.4805636094734</v>
      </c>
      <c r="X3">
        <v>7356.3880868958931</v>
      </c>
      <c r="Y3">
        <v>7606.0585215262599</v>
      </c>
      <c r="Z3">
        <v>6763.1763686977683</v>
      </c>
      <c r="AA3">
        <v>6146.2026745910189</v>
      </c>
      <c r="AB3">
        <v>10813.519828582119</v>
      </c>
      <c r="AC3">
        <v>7414.3031253521585</v>
      </c>
      <c r="AD3">
        <v>5758.2857252598315</v>
      </c>
      <c r="AE3">
        <v>6683.9956621682122</v>
      </c>
      <c r="AF3">
        <v>7726.8108254666531</v>
      </c>
      <c r="AG3">
        <v>6516.1348910701272</v>
      </c>
    </row>
    <row r="4" spans="1:33" x14ac:dyDescent="0.25">
      <c r="A4" t="s">
        <v>2</v>
      </c>
      <c r="B4">
        <v>6402.0716768888869</v>
      </c>
      <c r="C4">
        <v>6554.1429902055752</v>
      </c>
      <c r="D4">
        <v>5812.1228403264931</v>
      </c>
      <c r="E4">
        <v>6339.0280563086162</v>
      </c>
      <c r="F4">
        <v>5416.4369386077315</v>
      </c>
      <c r="G4">
        <v>6424.4394467750344</v>
      </c>
      <c r="H4">
        <v>5798.3856197844734</v>
      </c>
      <c r="I4">
        <v>6792.615533665823</v>
      </c>
      <c r="J4">
        <v>6762.6116583112325</v>
      </c>
      <c r="K4">
        <v>6092.7129369494514</v>
      </c>
      <c r="L4">
        <v>6211.161376530039</v>
      </c>
      <c r="M4">
        <v>5624.9791966440644</v>
      </c>
      <c r="N4">
        <v>5868.319238500535</v>
      </c>
      <c r="O4">
        <v>5549.4798052154065</v>
      </c>
      <c r="P4">
        <v>7567.2788173179761</v>
      </c>
      <c r="Q4">
        <v>6796.5167920835393</v>
      </c>
      <c r="R4">
        <v>7404.5637836320047</v>
      </c>
      <c r="S4">
        <v>7648.6346764326663</v>
      </c>
      <c r="T4">
        <v>7230.4036458267892</v>
      </c>
      <c r="U4">
        <v>6514.2235060940075</v>
      </c>
      <c r="V4">
        <v>5896.3059863949629</v>
      </c>
      <c r="W4">
        <v>5910.5852400861604</v>
      </c>
      <c r="X4">
        <v>6557.5776009808724</v>
      </c>
      <c r="Y4">
        <v>6860.5519740159825</v>
      </c>
      <c r="Z4">
        <v>7754.5087538787502</v>
      </c>
      <c r="AA4">
        <v>6343.3113674080778</v>
      </c>
      <c r="AB4">
        <v>7235.1526261214058</v>
      </c>
      <c r="AC4">
        <v>6947.0194335117576</v>
      </c>
      <c r="AD4">
        <v>5341.1515030163</v>
      </c>
      <c r="AE4">
        <v>7530.6635102876025</v>
      </c>
      <c r="AF4">
        <v>7375.4742422916688</v>
      </c>
      <c r="AG4">
        <v>7584.5287914756091</v>
      </c>
    </row>
    <row r="5" spans="1:33" x14ac:dyDescent="0.25">
      <c r="A5" t="s">
        <v>3</v>
      </c>
      <c r="B5">
        <v>7025.5889058743569</v>
      </c>
      <c r="C5">
        <v>6822.7333046907643</v>
      </c>
      <c r="D5">
        <v>6149.5949480222707</v>
      </c>
      <c r="E5">
        <v>5545.1252908929891</v>
      </c>
      <c r="F5">
        <v>6022.495833214829</v>
      </c>
      <c r="G5">
        <v>5308.818095853374</v>
      </c>
      <c r="H5">
        <v>5948.3284878361856</v>
      </c>
      <c r="I5">
        <v>6018.485405478028</v>
      </c>
      <c r="J5">
        <v>6225.859249750205</v>
      </c>
      <c r="K5">
        <v>5843.3152674679859</v>
      </c>
      <c r="L5">
        <v>6300.1861641562491</v>
      </c>
      <c r="M5">
        <v>6124.3117630133029</v>
      </c>
      <c r="N5">
        <v>7346.5394334966586</v>
      </c>
      <c r="O5">
        <v>6755.7230817747877</v>
      </c>
      <c r="P5">
        <v>6157.8404546474358</v>
      </c>
      <c r="Q5">
        <v>5732.2688698451184</v>
      </c>
      <c r="R5">
        <v>7069.9010378205448</v>
      </c>
      <c r="S5">
        <v>6720.6365569020345</v>
      </c>
      <c r="T5">
        <v>7182.8542986767588</v>
      </c>
      <c r="U5">
        <v>6465.278032249551</v>
      </c>
      <c r="V5">
        <v>6195.1602593303996</v>
      </c>
      <c r="W5">
        <v>5370.4529221362791</v>
      </c>
      <c r="X5">
        <v>6420.8207022826491</v>
      </c>
      <c r="Y5">
        <v>6786.9990935994738</v>
      </c>
      <c r="Z5">
        <v>7130.9125250773814</v>
      </c>
      <c r="AA5">
        <v>5634.1960513069807</v>
      </c>
      <c r="AB5">
        <v>7436.5846294161411</v>
      </c>
      <c r="AC5">
        <v>6818.4934098670274</v>
      </c>
      <c r="AD5">
        <v>8251.3468292080943</v>
      </c>
      <c r="AE5">
        <v>6684.3988428849989</v>
      </c>
      <c r="AF5">
        <v>5432.5516516837361</v>
      </c>
      <c r="AG5">
        <v>6425.966946296473</v>
      </c>
    </row>
    <row r="6" spans="1:33" x14ac:dyDescent="0.25">
      <c r="A6" t="s">
        <v>4</v>
      </c>
      <c r="B6">
        <v>5926.5128201958987</v>
      </c>
      <c r="C6">
        <v>6669.71832455613</v>
      </c>
      <c r="D6">
        <v>6356.338434508285</v>
      </c>
      <c r="E6">
        <v>7617.1941365055436</v>
      </c>
      <c r="F6">
        <v>7855.6164905087116</v>
      </c>
      <c r="G6">
        <v>8260.6590625523058</v>
      </c>
      <c r="H6">
        <v>7524.8109561929705</v>
      </c>
      <c r="I6">
        <v>7358.5534801358444</v>
      </c>
      <c r="J6">
        <v>7009.959664789907</v>
      </c>
      <c r="K6">
        <v>6973.7012214418755</v>
      </c>
      <c r="L6">
        <v>7968.4830794477457</v>
      </c>
      <c r="M6">
        <v>8070.4079439816323</v>
      </c>
      <c r="N6">
        <v>7749.420614154431</v>
      </c>
      <c r="O6">
        <v>7151.4397780677627</v>
      </c>
      <c r="P6">
        <v>7304.89374834505</v>
      </c>
      <c r="Q6">
        <v>8323.4421170857531</v>
      </c>
      <c r="R6">
        <v>6871.7639971122026</v>
      </c>
      <c r="S6">
        <v>6977.3353027054591</v>
      </c>
      <c r="T6">
        <v>7177.6799719051669</v>
      </c>
      <c r="U6">
        <v>6907.7803653012243</v>
      </c>
      <c r="V6">
        <v>9370.3401164066672</v>
      </c>
      <c r="W6">
        <v>6714.9931950943028</v>
      </c>
      <c r="X6">
        <v>6524.4691101655862</v>
      </c>
      <c r="Y6">
        <v>7328.3221926383958</v>
      </c>
      <c r="Z6">
        <v>6648.6049168664758</v>
      </c>
      <c r="AA6">
        <v>7787.9995930873865</v>
      </c>
      <c r="AB6">
        <v>8588.6266156285892</v>
      </c>
      <c r="AC6">
        <v>7181.9671141809358</v>
      </c>
      <c r="AD6">
        <v>7859.0534687349154</v>
      </c>
      <c r="AE6">
        <v>7150.8883923811718</v>
      </c>
      <c r="AF6">
        <v>7447.5881981652392</v>
      </c>
      <c r="AG6">
        <v>7591.5490497557839</v>
      </c>
    </row>
    <row r="7" spans="1:33" x14ac:dyDescent="0.25">
      <c r="A7" t="s">
        <v>5</v>
      </c>
      <c r="B7">
        <v>7704.4339679871373</v>
      </c>
      <c r="C7">
        <v>7440.8263871896379</v>
      </c>
      <c r="D7">
        <v>7768.3424510873665</v>
      </c>
      <c r="E7">
        <v>8035.4068507231659</v>
      </c>
      <c r="F7">
        <v>7151.3116277499457</v>
      </c>
      <c r="G7">
        <v>7836.2757910454111</v>
      </c>
      <c r="H7">
        <v>8103.4412446654178</v>
      </c>
      <c r="I7">
        <v>7198.1102488765009</v>
      </c>
      <c r="J7">
        <v>7962.861036588718</v>
      </c>
      <c r="K7">
        <v>7685.348058433854</v>
      </c>
      <c r="L7">
        <v>7644.8843718000353</v>
      </c>
      <c r="M7">
        <v>8129.1430212232153</v>
      </c>
      <c r="N7">
        <v>8337.6385109743078</v>
      </c>
      <c r="O7">
        <v>9116.125396500307</v>
      </c>
      <c r="P7">
        <v>9271.1672740749709</v>
      </c>
      <c r="Q7">
        <v>8396.9980105692957</v>
      </c>
      <c r="R7">
        <v>7326.012380809947</v>
      </c>
      <c r="S7">
        <v>7691.4806468799998</v>
      </c>
      <c r="T7">
        <v>7737.4777122170744</v>
      </c>
      <c r="U7">
        <v>7825.4257017376312</v>
      </c>
      <c r="V7">
        <v>6180.3958881194994</v>
      </c>
      <c r="W7">
        <v>6334.8900109769393</v>
      </c>
      <c r="X7">
        <v>7100.7133491167097</v>
      </c>
      <c r="Y7">
        <v>7712.0959961993522</v>
      </c>
      <c r="Z7">
        <v>8505.1370036564913</v>
      </c>
      <c r="AA7">
        <v>7776.8800624506184</v>
      </c>
      <c r="AB7">
        <v>8598.6810765992923</v>
      </c>
      <c r="AC7">
        <v>7702.3195492971399</v>
      </c>
      <c r="AD7">
        <v>7977.2054661998009</v>
      </c>
      <c r="AE7">
        <v>9285.7268697605505</v>
      </c>
      <c r="AF7">
        <v>8518.3572421317185</v>
      </c>
      <c r="AG7">
        <v>8643.7213677941054</v>
      </c>
    </row>
    <row r="8" spans="1:33" x14ac:dyDescent="0.25">
      <c r="A8" t="s">
        <v>6</v>
      </c>
      <c r="B8">
        <v>6347.0460016856723</v>
      </c>
      <c r="C8">
        <v>12361.438526335718</v>
      </c>
      <c r="D8">
        <v>9152.1445203145904</v>
      </c>
      <c r="E8">
        <v>7393.2823015369877</v>
      </c>
      <c r="F8">
        <v>6724.0062883840747</v>
      </c>
      <c r="G8">
        <v>7840.4895015294951</v>
      </c>
      <c r="H8">
        <v>6551.5184530293545</v>
      </c>
      <c r="I8">
        <v>6820.3472465786099</v>
      </c>
      <c r="J8">
        <v>6921.4487735835228</v>
      </c>
      <c r="K8">
        <v>8717.6090694209997</v>
      </c>
      <c r="L8">
        <v>6552.2752705852545</v>
      </c>
      <c r="M8">
        <v>6545.7976814871981</v>
      </c>
      <c r="N8">
        <v>7063.691545852862</v>
      </c>
      <c r="O8">
        <v>5752.9664684750614</v>
      </c>
      <c r="P8">
        <v>7752.7822930885523</v>
      </c>
      <c r="Q8">
        <v>8063.6325423009666</v>
      </c>
      <c r="R8">
        <v>9561.5224257285881</v>
      </c>
      <c r="S8">
        <v>6953.5947748594572</v>
      </c>
      <c r="T8">
        <v>6102.4696849953516</v>
      </c>
      <c r="U8">
        <v>6600.0075893734147</v>
      </c>
      <c r="V8">
        <v>6564.0274526981484</v>
      </c>
      <c r="W8">
        <v>5222.8952487964625</v>
      </c>
      <c r="X8">
        <v>5292.8948889174917</v>
      </c>
      <c r="Y8">
        <v>6390.0477829988104</v>
      </c>
      <c r="Z8">
        <v>8322.3444849253447</v>
      </c>
      <c r="AA8">
        <v>6510.4385466725944</v>
      </c>
      <c r="AB8">
        <v>7700.3084652206344</v>
      </c>
      <c r="AC8">
        <v>7811.3450514723054</v>
      </c>
      <c r="AD8">
        <v>7324.113485484886</v>
      </c>
      <c r="AE8">
        <v>8790.3816504870338</v>
      </c>
      <c r="AF8">
        <v>8954.9196483070045</v>
      </c>
      <c r="AG8">
        <v>8181.1126372753261</v>
      </c>
    </row>
    <row r="9" spans="1:33" x14ac:dyDescent="0.25">
      <c r="A9" t="s">
        <v>7</v>
      </c>
      <c r="B9">
        <v>8603.829182577967</v>
      </c>
      <c r="C9">
        <v>8162.5734233677285</v>
      </c>
      <c r="D9">
        <v>6771.5488549508864</v>
      </c>
      <c r="E9">
        <v>5795.9319638617708</v>
      </c>
      <c r="F9">
        <v>5865.7304730075721</v>
      </c>
      <c r="G9">
        <v>5857.6418656955748</v>
      </c>
      <c r="H9">
        <v>6165.621070783408</v>
      </c>
      <c r="I9">
        <v>7036.1089547289976</v>
      </c>
      <c r="J9">
        <v>6323.6320787491686</v>
      </c>
      <c r="K9">
        <v>8475.2176047638131</v>
      </c>
      <c r="L9">
        <v>7103.5899816925357</v>
      </c>
      <c r="M9">
        <v>6869.3970580607001</v>
      </c>
      <c r="N9">
        <v>6496.6772574188481</v>
      </c>
      <c r="O9">
        <v>6067.6474860060116</v>
      </c>
      <c r="P9">
        <v>6623.7873676103718</v>
      </c>
      <c r="Q9">
        <v>8080.4586163965669</v>
      </c>
      <c r="R9">
        <v>7632.2421119042301</v>
      </c>
      <c r="S9">
        <v>7322.7746291038575</v>
      </c>
      <c r="T9">
        <v>6013.5039046071752</v>
      </c>
      <c r="U9">
        <v>6583.7653230455135</v>
      </c>
      <c r="V9">
        <v>6375.3795658825547</v>
      </c>
      <c r="W9">
        <v>7149.3442538071013</v>
      </c>
      <c r="X9">
        <v>6752.8030777007825</v>
      </c>
      <c r="Y9">
        <v>6719.771157831392</v>
      </c>
      <c r="Z9">
        <v>8040.3623662466016</v>
      </c>
      <c r="AA9">
        <v>5504.0000385552958</v>
      </c>
      <c r="AB9">
        <v>7062.0081511354056</v>
      </c>
      <c r="AC9">
        <v>7816.1590193907132</v>
      </c>
      <c r="AD9">
        <v>6690.8296205561655</v>
      </c>
      <c r="AE9">
        <v>6082.9877785701847</v>
      </c>
      <c r="AF9">
        <v>8990.2738079661358</v>
      </c>
      <c r="AG9">
        <v>8038.1140300928855</v>
      </c>
    </row>
    <row r="10" spans="1:33" x14ac:dyDescent="0.25">
      <c r="A10" t="s">
        <v>8</v>
      </c>
      <c r="B10">
        <v>6021.1581712122588</v>
      </c>
      <c r="C10">
        <v>6776.3427365831794</v>
      </c>
      <c r="D10">
        <v>5671.0418672342294</v>
      </c>
      <c r="E10">
        <v>5622.4079142216942</v>
      </c>
      <c r="F10">
        <v>5080.802008144643</v>
      </c>
      <c r="G10">
        <v>7381.6470730197289</v>
      </c>
      <c r="H10">
        <v>6081.5958440694776</v>
      </c>
      <c r="I10">
        <v>6913.5411118307729</v>
      </c>
      <c r="J10">
        <v>5820.0646370106115</v>
      </c>
      <c r="K10">
        <v>6375.3353570514546</v>
      </c>
      <c r="L10">
        <v>8314.0745072887003</v>
      </c>
      <c r="M10">
        <v>6675.3160829670132</v>
      </c>
      <c r="N10">
        <v>8696.3291348697403</v>
      </c>
      <c r="O10">
        <v>7659.170906477475</v>
      </c>
      <c r="P10">
        <v>6091.9031872004443</v>
      </c>
      <c r="Q10">
        <v>7752.1027881426235</v>
      </c>
      <c r="R10">
        <v>5993.6595930360581</v>
      </c>
      <c r="S10">
        <v>9394.7054014207097</v>
      </c>
      <c r="T10">
        <v>5587.2758130686116</v>
      </c>
      <c r="U10">
        <v>11707.469932301758</v>
      </c>
      <c r="V10">
        <v>5481.2604605693323</v>
      </c>
      <c r="W10">
        <v>5594.6002837821816</v>
      </c>
      <c r="X10">
        <v>6505.8348706915349</v>
      </c>
      <c r="Y10">
        <v>8072.4608540826466</v>
      </c>
      <c r="Z10">
        <v>7364.1443124299476</v>
      </c>
      <c r="AA10">
        <v>14325.561008841949</v>
      </c>
      <c r="AB10">
        <v>7908.667421937349</v>
      </c>
      <c r="AC10">
        <v>8290.838285750393</v>
      </c>
      <c r="AD10">
        <v>7029.8372770133183</v>
      </c>
      <c r="AE10">
        <v>7314.8148006372012</v>
      </c>
      <c r="AF10">
        <v>5969.6171919657882</v>
      </c>
      <c r="AG10">
        <v>7768.1086307238384</v>
      </c>
    </row>
    <row r="11" spans="1:33" x14ac:dyDescent="0.25">
      <c r="A11" t="s">
        <v>9</v>
      </c>
      <c r="B11">
        <v>4971.0371543258061</v>
      </c>
      <c r="C11">
        <v>3975.0013457785635</v>
      </c>
      <c r="D11">
        <v>3780.0240301688482</v>
      </c>
      <c r="E11">
        <v>4086.0385457313669</v>
      </c>
      <c r="F11">
        <v>3122.3642265766002</v>
      </c>
      <c r="G11">
        <v>2566.2752659221851</v>
      </c>
      <c r="H11">
        <v>5406.3226442829291</v>
      </c>
      <c r="I11">
        <v>4073.196277109826</v>
      </c>
      <c r="J11">
        <v>4055.0396369236487</v>
      </c>
      <c r="K11">
        <v>3953.0839740047631</v>
      </c>
      <c r="L11">
        <v>4357.0764653107817</v>
      </c>
      <c r="M11">
        <v>4559.1513414760157</v>
      </c>
      <c r="N11">
        <v>3926.5504067439515</v>
      </c>
      <c r="O11">
        <v>3582.6556276248775</v>
      </c>
      <c r="P11">
        <v>3743.4379388999623</v>
      </c>
      <c r="Q11">
        <v>3410.1566972238688</v>
      </c>
      <c r="R11">
        <v>4102.8056156817102</v>
      </c>
      <c r="S11">
        <v>4394.6435950970426</v>
      </c>
      <c r="T11">
        <v>4188.8136676411414</v>
      </c>
      <c r="U11">
        <v>4338.2330014694362</v>
      </c>
      <c r="V11">
        <v>2801.6042577294702</v>
      </c>
      <c r="W11">
        <v>2918.4411100053167</v>
      </c>
      <c r="X11">
        <v>3967.4293937318362</v>
      </c>
      <c r="Y11">
        <v>4047.2550505468121</v>
      </c>
      <c r="Z11">
        <v>4268.5518921339062</v>
      </c>
      <c r="AA11">
        <v>4341.2001642394353</v>
      </c>
      <c r="AB11">
        <v>4607.5879953614603</v>
      </c>
      <c r="AC11">
        <v>3938.8045918246412</v>
      </c>
      <c r="AD11">
        <v>3718.0277745354438</v>
      </c>
      <c r="AE11">
        <v>3714.3743872672485</v>
      </c>
      <c r="AF11">
        <v>4241.706642732257</v>
      </c>
      <c r="AG11">
        <v>3712.4684856181907</v>
      </c>
    </row>
    <row r="12" spans="1:33" x14ac:dyDescent="0.25">
      <c r="A12" t="s">
        <v>10</v>
      </c>
      <c r="B12">
        <v>4849.7560886437986</v>
      </c>
      <c r="C12">
        <v>4107.8314326918817</v>
      </c>
      <c r="D12">
        <v>4616.0610342640266</v>
      </c>
      <c r="E12">
        <v>4346.1595830537735</v>
      </c>
      <c r="F12">
        <v>3890.620598932016</v>
      </c>
      <c r="G12">
        <v>3289.2792456018724</v>
      </c>
      <c r="H12">
        <v>5751.3125808425284</v>
      </c>
      <c r="I12">
        <v>4665.9157313501219</v>
      </c>
      <c r="J12">
        <v>4776.49841772952</v>
      </c>
      <c r="K12">
        <v>5238.5312048241331</v>
      </c>
      <c r="L12">
        <v>4604.2337600786195</v>
      </c>
      <c r="M12">
        <v>4682.4359875419213</v>
      </c>
      <c r="N12">
        <v>5152.660286249572</v>
      </c>
      <c r="O12">
        <v>5036.9357883368893</v>
      </c>
      <c r="P12">
        <v>3996.016771106435</v>
      </c>
      <c r="Q12">
        <v>5359.7855833166632</v>
      </c>
      <c r="R12">
        <v>4471.8693169370363</v>
      </c>
      <c r="S12">
        <v>4470.3698721672754</v>
      </c>
      <c r="T12">
        <v>4007.0748951704936</v>
      </c>
      <c r="U12">
        <v>4744.1645095572749</v>
      </c>
      <c r="V12">
        <v>3758.1754662377757</v>
      </c>
      <c r="W12">
        <v>4243.0508611200084</v>
      </c>
      <c r="X12">
        <v>4296.2928975622017</v>
      </c>
      <c r="Y12">
        <v>4657.5739766131373</v>
      </c>
      <c r="Z12">
        <v>5019.2817685220789</v>
      </c>
      <c r="AA12">
        <v>5059.8489738025864</v>
      </c>
      <c r="AB12">
        <v>5323.6416221560294</v>
      </c>
      <c r="AC12">
        <v>5659.0664334419898</v>
      </c>
      <c r="AD12">
        <v>5220.8905759543595</v>
      </c>
      <c r="AE12">
        <v>4672.8510703785423</v>
      </c>
      <c r="AF12">
        <v>5791.7838819157478</v>
      </c>
      <c r="AG12">
        <v>5578.5150519540766</v>
      </c>
    </row>
    <row r="13" spans="1:33" x14ac:dyDescent="0.25">
      <c r="A13" t="s">
        <v>11</v>
      </c>
      <c r="B13">
        <v>3252.8601382685101</v>
      </c>
      <c r="C13">
        <v>3366.0727917564054</v>
      </c>
      <c r="D13">
        <v>3102.7655337790034</v>
      </c>
      <c r="E13">
        <v>3411.1661570193623</v>
      </c>
      <c r="F13">
        <v>2674.4728153390961</v>
      </c>
      <c r="G13">
        <v>2994.2835973505034</v>
      </c>
      <c r="H13">
        <v>3227.5259537799075</v>
      </c>
      <c r="I13">
        <v>3470.2008238590906</v>
      </c>
      <c r="J13">
        <v>3560.5103095099084</v>
      </c>
      <c r="K13">
        <v>2943.6618481039864</v>
      </c>
      <c r="L13">
        <v>2893.5407102910513</v>
      </c>
      <c r="M13">
        <v>3044.8118503899641</v>
      </c>
      <c r="N13">
        <v>2925.7389078183537</v>
      </c>
      <c r="O13">
        <v>3100.4990792201934</v>
      </c>
      <c r="P13">
        <v>3416.0545467659158</v>
      </c>
      <c r="Q13">
        <v>2660.065064525706</v>
      </c>
      <c r="R13">
        <v>3680.5741605577578</v>
      </c>
      <c r="S13">
        <v>3287.1619596225182</v>
      </c>
      <c r="T13">
        <v>2964.6418833661633</v>
      </c>
      <c r="U13">
        <v>3495.9154805289536</v>
      </c>
      <c r="V13">
        <v>3498.3894063421035</v>
      </c>
      <c r="W13">
        <v>2519.6276101850708</v>
      </c>
      <c r="X13">
        <v>3117.2719804671533</v>
      </c>
      <c r="Y13">
        <v>3264.381695528813</v>
      </c>
      <c r="Z13">
        <v>3603.8270318870264</v>
      </c>
      <c r="AA13">
        <v>3408.0147867961414</v>
      </c>
      <c r="AB13">
        <v>3801.1902187825895</v>
      </c>
      <c r="AC13">
        <v>3271.8251241930875</v>
      </c>
      <c r="AD13">
        <v>3146.7844765507016</v>
      </c>
      <c r="AE13">
        <v>3157.9519082917718</v>
      </c>
      <c r="AF13">
        <v>3695.6878877382651</v>
      </c>
      <c r="AG13">
        <v>3294.3740728660982</v>
      </c>
    </row>
    <row r="14" spans="1:33" x14ac:dyDescent="0.25">
      <c r="A14" t="s">
        <v>12</v>
      </c>
      <c r="B14">
        <v>4759.5482764946582</v>
      </c>
      <c r="C14">
        <v>4256.3966780332012</v>
      </c>
      <c r="D14">
        <v>4665.3484261608201</v>
      </c>
      <c r="E14">
        <v>4038.1408909353199</v>
      </c>
      <c r="F14">
        <v>3161.2536743197415</v>
      </c>
      <c r="G14">
        <v>3209.8331663351946</v>
      </c>
      <c r="H14">
        <v>5341.1947171433603</v>
      </c>
      <c r="I14">
        <v>4005.7219902081242</v>
      </c>
      <c r="J14">
        <v>4698.608996784611</v>
      </c>
      <c r="K14">
        <v>4985.2186196782313</v>
      </c>
      <c r="L14">
        <v>4422.0200353551463</v>
      </c>
      <c r="M14">
        <v>3615.4220354750496</v>
      </c>
      <c r="N14">
        <v>4310.0331769717104</v>
      </c>
      <c r="O14">
        <v>5066.4554571047938</v>
      </c>
      <c r="P14">
        <v>4199.6610879494583</v>
      </c>
      <c r="Q14">
        <v>3583.6836404157548</v>
      </c>
      <c r="R14">
        <v>4732.2874685731676</v>
      </c>
      <c r="S14">
        <v>4276.9741959796238</v>
      </c>
      <c r="T14">
        <v>4559.6435259569453</v>
      </c>
      <c r="U14">
        <v>4682.5504810843959</v>
      </c>
      <c r="V14">
        <v>3349.7490553970856</v>
      </c>
      <c r="W14">
        <v>3618.3841647563877</v>
      </c>
      <c r="X14">
        <v>3508.9243597562713</v>
      </c>
      <c r="Y14">
        <v>4603.816737978017</v>
      </c>
      <c r="Z14">
        <v>4166.7732540284542</v>
      </c>
      <c r="AA14">
        <v>4773.7113664491735</v>
      </c>
      <c r="AB14">
        <v>3669.6303620293947</v>
      </c>
      <c r="AC14">
        <v>3992.7129194389172</v>
      </c>
      <c r="AD14">
        <v>3822.9295788561649</v>
      </c>
      <c r="AE14">
        <v>3872.5101818044604</v>
      </c>
      <c r="AF14">
        <v>4962.9953043279147</v>
      </c>
      <c r="AG14">
        <v>4203.7604073730672</v>
      </c>
    </row>
    <row r="15" spans="1:33" x14ac:dyDescent="0.25">
      <c r="A15" t="s">
        <v>13</v>
      </c>
      <c r="B15">
        <v>4352.6462286964006</v>
      </c>
      <c r="C15">
        <v>4415.5620106356928</v>
      </c>
      <c r="D15">
        <v>4656.9284157833627</v>
      </c>
      <c r="E15">
        <v>4142.8253459507414</v>
      </c>
      <c r="F15">
        <v>3814.910776304986</v>
      </c>
      <c r="G15">
        <v>3104.7500342703515</v>
      </c>
      <c r="H15">
        <v>5193.1227344784666</v>
      </c>
      <c r="I15">
        <v>3697.3217024018122</v>
      </c>
      <c r="J15">
        <v>4324.8582757600134</v>
      </c>
      <c r="K15">
        <v>4505.7389437650327</v>
      </c>
      <c r="L15">
        <v>4334.2988440656645</v>
      </c>
      <c r="M15">
        <v>3989.4909693501572</v>
      </c>
      <c r="N15">
        <v>4091.1164310693475</v>
      </c>
      <c r="O15">
        <v>4414.3239036600971</v>
      </c>
      <c r="P15">
        <v>4234.1591182445445</v>
      </c>
      <c r="Q15">
        <v>3855.2762424839448</v>
      </c>
      <c r="R15">
        <v>4327.5532971118419</v>
      </c>
      <c r="S15">
        <v>3981.7296767170992</v>
      </c>
      <c r="T15">
        <v>3897.6223188030581</v>
      </c>
      <c r="U15">
        <v>3354.7400525294897</v>
      </c>
      <c r="V15">
        <v>3451.8157153960728</v>
      </c>
      <c r="W15">
        <v>3387.4686341527236</v>
      </c>
      <c r="X15">
        <v>3832.7567085130572</v>
      </c>
      <c r="Y15">
        <v>4313.0913778092499</v>
      </c>
      <c r="Z15">
        <v>3679.9893800457903</v>
      </c>
      <c r="AA15">
        <v>4210.5812366429236</v>
      </c>
      <c r="AB15">
        <v>4291.6433220706294</v>
      </c>
      <c r="AC15">
        <v>3784.6007542965053</v>
      </c>
      <c r="AD15">
        <v>4049.9683108514482</v>
      </c>
      <c r="AE15">
        <v>4024.6956292910359</v>
      </c>
      <c r="AF15">
        <v>4202.8316465393564</v>
      </c>
      <c r="AG15">
        <v>3808.2002865555119</v>
      </c>
    </row>
    <row r="16" spans="1:33" x14ac:dyDescent="0.25">
      <c r="A16" t="s">
        <v>14</v>
      </c>
      <c r="B16">
        <v>9176.1183012016663</v>
      </c>
      <c r="C16">
        <v>12229.939250471829</v>
      </c>
      <c r="D16">
        <v>8764.5014295133878</v>
      </c>
      <c r="E16">
        <v>8834.461341953127</v>
      </c>
      <c r="F16">
        <v>7856.2488349032865</v>
      </c>
      <c r="G16">
        <v>7347.9632283047831</v>
      </c>
      <c r="H16">
        <v>10215.151944123701</v>
      </c>
      <c r="I16">
        <v>9670.1464804277639</v>
      </c>
      <c r="J16">
        <v>9965.2802876138794</v>
      </c>
      <c r="K16">
        <v>9054.9915271898481</v>
      </c>
      <c r="L16">
        <v>9855.4059650751587</v>
      </c>
      <c r="M16">
        <v>8371.2627174026493</v>
      </c>
      <c r="N16">
        <v>9681.8242606126259</v>
      </c>
      <c r="O16">
        <v>10812.34298290094</v>
      </c>
      <c r="P16">
        <v>11561.860701846363</v>
      </c>
      <c r="Q16">
        <v>8985.2125938010304</v>
      </c>
      <c r="R16">
        <v>8742.4520447993164</v>
      </c>
      <c r="S16">
        <v>7315.6847283615789</v>
      </c>
      <c r="T16">
        <v>7004.214396656198</v>
      </c>
      <c r="U16">
        <v>7752.583136387665</v>
      </c>
      <c r="V16">
        <v>5423.533442537233</v>
      </c>
      <c r="W16">
        <v>5030.221042739644</v>
      </c>
      <c r="X16">
        <v>7972.8951137295116</v>
      </c>
      <c r="Y16">
        <v>7258.3281630152069</v>
      </c>
      <c r="Z16">
        <v>7219.5756516543433</v>
      </c>
      <c r="AA16">
        <v>6726.8298835958476</v>
      </c>
      <c r="AB16">
        <v>8122.0191913332146</v>
      </c>
      <c r="AC16">
        <v>6855.8627269239969</v>
      </c>
      <c r="AD16">
        <v>8407.6390789227989</v>
      </c>
      <c r="AE16">
        <v>5953.3078947487138</v>
      </c>
      <c r="AF16">
        <v>7281.7441575787452</v>
      </c>
      <c r="AG16">
        <v>6880.4309540015729</v>
      </c>
    </row>
    <row r="17" spans="1:33" x14ac:dyDescent="0.25">
      <c r="A17" t="s">
        <v>15</v>
      </c>
      <c r="B17">
        <v>6851.8003353456479</v>
      </c>
      <c r="C17">
        <v>6117.7519993089427</v>
      </c>
      <c r="D17">
        <v>7459.9787893606463</v>
      </c>
      <c r="E17">
        <v>5917.1471318707299</v>
      </c>
      <c r="F17">
        <v>5864.9930302756438</v>
      </c>
      <c r="G17">
        <v>6208.3241673214734</v>
      </c>
      <c r="H17">
        <v>7489.4035687294163</v>
      </c>
      <c r="I17">
        <v>7299.737385303697</v>
      </c>
      <c r="J17">
        <v>6294.4195487990382</v>
      </c>
      <c r="K17">
        <v>6342.1373407492229</v>
      </c>
      <c r="L17">
        <v>6162.1621914780289</v>
      </c>
      <c r="M17">
        <v>6269.7746422603977</v>
      </c>
      <c r="N17">
        <v>6113.6185227494207</v>
      </c>
      <c r="O17">
        <v>5876.3972317729522</v>
      </c>
      <c r="P17">
        <v>7224.210469906493</v>
      </c>
      <c r="Q17">
        <v>6276.9933946597412</v>
      </c>
      <c r="R17">
        <v>5470.0484367790359</v>
      </c>
      <c r="S17">
        <v>4642.3135936792187</v>
      </c>
      <c r="T17">
        <v>5207.5979445838948</v>
      </c>
      <c r="U17">
        <v>4637.9131098774305</v>
      </c>
      <c r="V17">
        <v>3862.2919969499881</v>
      </c>
      <c r="W17">
        <v>4860.5810299175282</v>
      </c>
      <c r="X17">
        <v>6044.2334043251358</v>
      </c>
      <c r="Y17">
        <v>5619.5250875616985</v>
      </c>
      <c r="Z17">
        <v>5227.1616977172143</v>
      </c>
      <c r="AA17">
        <v>5032.4426821825837</v>
      </c>
      <c r="AB17">
        <v>5253.7138559214764</v>
      </c>
      <c r="AC17">
        <v>5547.9666083327556</v>
      </c>
      <c r="AD17">
        <v>4930.8787202524991</v>
      </c>
      <c r="AE17">
        <v>6309.5283351347052</v>
      </c>
      <c r="AF17">
        <v>5560.7581174554098</v>
      </c>
      <c r="AG17">
        <v>4811.0843728422651</v>
      </c>
    </row>
    <row r="18" spans="1:33" x14ac:dyDescent="0.25">
      <c r="A18" t="s">
        <v>16</v>
      </c>
      <c r="B18">
        <v>6258.3598610672825</v>
      </c>
      <c r="C18">
        <v>6699.2309260224702</v>
      </c>
      <c r="D18">
        <v>6035.9288278670847</v>
      </c>
      <c r="E18">
        <v>5913.0711963034319</v>
      </c>
      <c r="F18">
        <v>5381.21499198131</v>
      </c>
      <c r="G18">
        <v>5672.2249208913945</v>
      </c>
      <c r="H18">
        <v>6323.4840844816936</v>
      </c>
      <c r="I18">
        <v>6151.1877316218561</v>
      </c>
      <c r="J18">
        <v>6181.8833359259343</v>
      </c>
      <c r="K18">
        <v>6348.0812817198484</v>
      </c>
      <c r="L18">
        <v>6228.7942361027781</v>
      </c>
      <c r="M18">
        <v>5974.1024603326341</v>
      </c>
      <c r="N18">
        <v>6298.2520502358793</v>
      </c>
      <c r="O18">
        <v>6274.260014431321</v>
      </c>
      <c r="P18">
        <v>6842.8241703178546</v>
      </c>
      <c r="Q18">
        <v>6293.2934178111991</v>
      </c>
      <c r="R18">
        <v>6337.6082451155071</v>
      </c>
      <c r="S18">
        <v>6152.5181595996801</v>
      </c>
      <c r="T18">
        <v>5692.4841670525666</v>
      </c>
      <c r="U18">
        <v>6184.5716505945411</v>
      </c>
      <c r="V18">
        <v>5456.1239613407843</v>
      </c>
      <c r="W18">
        <v>5039.7344114110374</v>
      </c>
      <c r="X18">
        <v>5683.4203696557788</v>
      </c>
      <c r="Y18">
        <v>6082.6853107963498</v>
      </c>
      <c r="Z18">
        <v>6247.6234271845042</v>
      </c>
      <c r="AA18">
        <v>6238.7478957748408</v>
      </c>
      <c r="AB18">
        <v>6694.1983588197163</v>
      </c>
      <c r="AC18">
        <v>6202.2189431516217</v>
      </c>
      <c r="AD18">
        <v>5968.5961260931163</v>
      </c>
      <c r="AE18">
        <v>6081.9384609395611</v>
      </c>
      <c r="AF18">
        <v>6410.2066964177084</v>
      </c>
      <c r="AG18">
        <v>6202.5379983796611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2" t="s">
        <v>33</v>
      </c>
      <c r="B20" s="3">
        <f>AVERAGE(B4:B18)</f>
        <v>6166.8511406977295</v>
      </c>
      <c r="C20" s="3">
        <f t="shared" ref="C20:AG20" si="0">AVERAGE(C4:C18)</f>
        <v>6663.7041418418476</v>
      </c>
      <c r="D20" s="3">
        <f t="shared" si="0"/>
        <v>6050.8446935560869</v>
      </c>
      <c r="E20" s="3">
        <f t="shared" si="0"/>
        <v>5802.492447124574</v>
      </c>
      <c r="F20" s="3">
        <f t="shared" si="0"/>
        <v>5325.4985738833466</v>
      </c>
      <c r="G20" s="3">
        <f t="shared" si="0"/>
        <v>5553.52696416458</v>
      </c>
      <c r="H20" s="3">
        <f t="shared" si="0"/>
        <v>6341.4146602815545</v>
      </c>
      <c r="I20" s="3">
        <f t="shared" si="0"/>
        <v>6078.0793402384588</v>
      </c>
      <c r="J20" s="3">
        <f t="shared" si="0"/>
        <v>6058.9023938553273</v>
      </c>
      <c r="K20" s="3">
        <f t="shared" si="0"/>
        <v>6235.6456170376332</v>
      </c>
      <c r="L20" s="3">
        <f t="shared" si="0"/>
        <v>6196.8124639505195</v>
      </c>
      <c r="M20" s="3">
        <f t="shared" si="0"/>
        <v>5903.053650107061</v>
      </c>
      <c r="N20" s="3">
        <f t="shared" si="0"/>
        <v>6270.5606518478844</v>
      </c>
      <c r="O20" s="3">
        <f t="shared" si="0"/>
        <v>6147.7615338379246</v>
      </c>
      <c r="P20" s="3">
        <f t="shared" si="0"/>
        <v>6399.1918631547878</v>
      </c>
      <c r="Q20" s="4">
        <f t="shared" si="0"/>
        <v>6237.9924247107847</v>
      </c>
      <c r="R20" s="2">
        <f t="shared" si="0"/>
        <v>6248.3242610399302</v>
      </c>
      <c r="S20" s="3">
        <f t="shared" si="0"/>
        <v>6082.0371846352164</v>
      </c>
      <c r="T20" s="3">
        <f t="shared" si="0"/>
        <v>5636.9171887018265</v>
      </c>
      <c r="U20" s="3">
        <f t="shared" si="0"/>
        <v>6119.6414581421523</v>
      </c>
      <c r="V20" s="3">
        <f t="shared" si="0"/>
        <v>5177.6368687554723</v>
      </c>
      <c r="W20" s="3">
        <f t="shared" si="0"/>
        <v>4927.6846679311429</v>
      </c>
      <c r="X20" s="3">
        <f t="shared" si="0"/>
        <v>5571.8891885064377</v>
      </c>
      <c r="Y20" s="3">
        <f t="shared" si="0"/>
        <v>5981.1270967476894</v>
      </c>
      <c r="Z20" s="3">
        <f t="shared" si="0"/>
        <v>6213.2532310836204</v>
      </c>
      <c r="AA20" s="3">
        <f t="shared" si="0"/>
        <v>6244.917577187096</v>
      </c>
      <c r="AB20" s="3">
        <f t="shared" si="0"/>
        <v>6419.5769275022212</v>
      </c>
      <c r="AC20" s="3">
        <f t="shared" si="0"/>
        <v>6121.4133310049192</v>
      </c>
      <c r="AD20" s="3">
        <f t="shared" si="0"/>
        <v>5982.616819482002</v>
      </c>
      <c r="AE20" s="3">
        <f t="shared" si="0"/>
        <v>6041.8013141909851</v>
      </c>
      <c r="AF20" s="3">
        <f t="shared" si="0"/>
        <v>6322.4330878144456</v>
      </c>
      <c r="AG20" s="3">
        <f t="shared" si="0"/>
        <v>6181.6315388669627</v>
      </c>
    </row>
    <row r="21" spans="1:33" x14ac:dyDescent="0.25">
      <c r="A21" s="2" t="s">
        <v>34</v>
      </c>
      <c r="B21" s="3">
        <f>_xlfn.STDEV.S(B4:B18)</f>
        <v>1596.164023215483</v>
      </c>
      <c r="C21" s="3">
        <f t="shared" ref="C21:AG21" si="1">_xlfn.STDEV.S(C4:C18)</f>
        <v>2700.9558462283921</v>
      </c>
      <c r="D21" s="3">
        <f t="shared" si="1"/>
        <v>1742.5434638155723</v>
      </c>
      <c r="E21" s="3">
        <f t="shared" si="1"/>
        <v>1627.1676526294239</v>
      </c>
      <c r="F21" s="3">
        <f t="shared" si="1"/>
        <v>1693.3064857514385</v>
      </c>
      <c r="G21" s="3">
        <f t="shared" si="1"/>
        <v>2031.4502252834607</v>
      </c>
      <c r="H21" s="3">
        <f t="shared" si="1"/>
        <v>1573.4196117821568</v>
      </c>
      <c r="I21" s="3">
        <f t="shared" si="1"/>
        <v>1747.5120970367898</v>
      </c>
      <c r="J21" s="3">
        <f t="shared" si="1"/>
        <v>1647.8002271070386</v>
      </c>
      <c r="K21" s="3">
        <f t="shared" si="1"/>
        <v>1764.458130698371</v>
      </c>
      <c r="L21" s="3">
        <f t="shared" si="1"/>
        <v>1842.2992941421012</v>
      </c>
      <c r="M21" s="3">
        <f t="shared" si="1"/>
        <v>1654.3147837129068</v>
      </c>
      <c r="N21" s="3">
        <f t="shared" si="1"/>
        <v>1937.074084532951</v>
      </c>
      <c r="O21" s="3">
        <f t="shared" si="1"/>
        <v>2002.0391749809601</v>
      </c>
      <c r="P21" s="3">
        <f t="shared" si="1"/>
        <v>2255.9698228472034</v>
      </c>
      <c r="Q21" s="4">
        <f t="shared" si="1"/>
        <v>2077.8120503869995</v>
      </c>
      <c r="R21" s="2">
        <f t="shared" si="1"/>
        <v>1766.6312121824394</v>
      </c>
      <c r="S21" s="3">
        <f t="shared" si="1"/>
        <v>1773.8580760646216</v>
      </c>
      <c r="T21" s="3">
        <f t="shared" si="1"/>
        <v>1469.0487839536815</v>
      </c>
      <c r="U21" s="3">
        <f t="shared" si="1"/>
        <v>2104.4416741404825</v>
      </c>
      <c r="V21" s="3">
        <f t="shared" si="1"/>
        <v>1737.2605187707159</v>
      </c>
      <c r="W21" s="3">
        <f t="shared" si="1"/>
        <v>1368.6061694622456</v>
      </c>
      <c r="X21" s="3">
        <f t="shared" si="1"/>
        <v>1482.974672374073</v>
      </c>
      <c r="Y21" s="3">
        <f t="shared" si="1"/>
        <v>1479.4905727514754</v>
      </c>
      <c r="Z21" s="3">
        <f t="shared" si="1"/>
        <v>1739.8534089725449</v>
      </c>
      <c r="AA21" s="3">
        <f t="shared" si="1"/>
        <v>2564.9954292809994</v>
      </c>
      <c r="AB21" s="3">
        <f t="shared" si="1"/>
        <v>1756.350098390004</v>
      </c>
      <c r="AC21" s="3">
        <f t="shared" si="1"/>
        <v>1673.1186716186273</v>
      </c>
      <c r="AD21" s="3">
        <f t="shared" si="1"/>
        <v>1804.6142966162856</v>
      </c>
      <c r="AE21" s="3">
        <f t="shared" si="1"/>
        <v>1852.0820401321953</v>
      </c>
      <c r="AF21" s="3">
        <f t="shared" si="1"/>
        <v>1722.1330986067856</v>
      </c>
      <c r="AG21" s="3">
        <f t="shared" si="1"/>
        <v>1827.3324505273522</v>
      </c>
    </row>
    <row r="22" spans="1:33" x14ac:dyDescent="0.25">
      <c r="A22" s="2" t="s">
        <v>35</v>
      </c>
      <c r="B22" s="3">
        <f>AVERAGE(B4:Q18)</f>
        <v>6089.5207850181332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5"/>
      <c r="R22" s="2">
        <f>AVERAGE(R4:AG18)</f>
        <v>5954.5563588495079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x14ac:dyDescent="0.25">
      <c r="A23" s="2" t="s">
        <v>36</v>
      </c>
      <c r="B23" s="3">
        <f>_xlfn.STDEV.S(B4:Q18)</f>
        <v>1856.9458665374614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5"/>
      <c r="R23" s="2">
        <f>_xlfn.STDEV.S(R4:AG18)</f>
        <v>1769.1188644211638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s="6" customFormat="1" x14ac:dyDescent="0.25">
      <c r="B24" s="7"/>
      <c r="Q24" s="8"/>
    </row>
    <row r="25" spans="1:33" s="2" customFormat="1" x14ac:dyDescent="0.25">
      <c r="B25" s="3" t="s">
        <v>37</v>
      </c>
      <c r="C25" s="2" t="s">
        <v>38</v>
      </c>
      <c r="E25" s="2" t="s">
        <v>39</v>
      </c>
      <c r="F25" s="2" t="s">
        <v>40</v>
      </c>
      <c r="G25" s="2" t="s">
        <v>41</v>
      </c>
      <c r="Q25" s="5"/>
      <c r="R25" s="2" t="s">
        <v>37</v>
      </c>
      <c r="S25" s="2" t="s">
        <v>38</v>
      </c>
      <c r="U25" s="2" t="s">
        <v>39</v>
      </c>
      <c r="V25" s="2" t="s">
        <v>40</v>
      </c>
      <c r="W25" s="2" t="s">
        <v>41</v>
      </c>
    </row>
    <row r="26" spans="1:33" s="2" customFormat="1" x14ac:dyDescent="0.25">
      <c r="B26" s="3">
        <f>AVERAGE(B20,D20,F20,H20,J20,L20,N20,P20)</f>
        <v>6101.2595551534041</v>
      </c>
      <c r="C26" s="2">
        <f>AVERAGE(C20,E20,G20,I20,K20,M20,O20,Q20)</f>
        <v>6077.7820148828578</v>
      </c>
      <c r="E26" s="2">
        <f>AVERAGE(D20,E20,F20,G20,H20,I20)</f>
        <v>5858.6427798747673</v>
      </c>
      <c r="F26" s="2">
        <f>AVERAGE(L20:Q20)</f>
        <v>6192.5620979348269</v>
      </c>
      <c r="G26" s="2">
        <f>AVERAGE(B20,C20,J20,K20)</f>
        <v>6281.2758233581344</v>
      </c>
      <c r="Q26" s="5"/>
      <c r="R26" s="2">
        <f>AVERAGE(R20,T20,V20,X20,Z20,AB20,AD20,AF20)</f>
        <v>5946.5809466107448</v>
      </c>
      <c r="S26" s="2">
        <f>AVERAGE(S20,U20,W20,Y20,AA20,AC20,AE20,AG20)</f>
        <v>5962.53177108827</v>
      </c>
      <c r="U26" s="2">
        <f>AVERAGE(T20:Y20)</f>
        <v>5569.14941146412</v>
      </c>
      <c r="V26" s="2">
        <f>AVERAGE(AB20:AG20)</f>
        <v>6178.2455031435893</v>
      </c>
      <c r="W26" s="2">
        <f>AVERAGE(R20:S20,Z20:AA20)</f>
        <v>6197.1330634864662</v>
      </c>
    </row>
    <row r="27" spans="1:33" s="2" customFormat="1" x14ac:dyDescent="0.25">
      <c r="B27" s="3"/>
      <c r="Q27" s="5"/>
    </row>
    <row r="28" spans="1:33" s="2" customFormat="1" x14ac:dyDescent="0.25">
      <c r="A28" s="2" t="s">
        <v>42</v>
      </c>
      <c r="B28" s="3">
        <f>_xlfn.T.TEST(B4:B18,R4:R18,2,1)</f>
        <v>0.77495278297720749</v>
      </c>
      <c r="C28" s="3">
        <f t="shared" ref="C28:Q28" si="2">_xlfn.T.TEST(C4:C18,S4:S18,2,1)</f>
        <v>0.29575352989662662</v>
      </c>
      <c r="D28" s="3">
        <f t="shared" si="2"/>
        <v>0.20646358121551606</v>
      </c>
      <c r="E28" s="3">
        <f t="shared" si="2"/>
        <v>0.49158170004753809</v>
      </c>
      <c r="F28" s="3">
        <f t="shared" si="2"/>
        <v>0.58274115386501135</v>
      </c>
      <c r="G28" s="3">
        <f t="shared" si="2"/>
        <v>6.1138939922630565E-2</v>
      </c>
      <c r="H28" s="3">
        <f t="shared" si="2"/>
        <v>7.879553623261917E-3</v>
      </c>
      <c r="I28" s="3">
        <f t="shared" si="2"/>
        <v>0.6883810498178462</v>
      </c>
      <c r="J28" s="3">
        <f t="shared" si="2"/>
        <v>0.61260172977314065</v>
      </c>
      <c r="K28" s="3">
        <f t="shared" si="2"/>
        <v>0.9886020022693307</v>
      </c>
      <c r="L28" s="3">
        <f t="shared" si="2"/>
        <v>0.33364177895552838</v>
      </c>
      <c r="M28" s="3">
        <f t="shared" si="2"/>
        <v>0.3771917208860901</v>
      </c>
      <c r="N28" s="3">
        <f t="shared" si="2"/>
        <v>0.11983438887724275</v>
      </c>
      <c r="O28" s="3">
        <f t="shared" si="2"/>
        <v>0.80862422530856826</v>
      </c>
      <c r="P28" s="3">
        <f t="shared" si="2"/>
        <v>0.85042549974292503</v>
      </c>
      <c r="Q28" s="3">
        <f t="shared" si="2"/>
        <v>0.79145325883643558</v>
      </c>
    </row>
  </sheetData>
  <mergeCells count="2">
    <mergeCell ref="B1:Q1"/>
    <mergeCell ref="R1:A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TimeTo1m</vt:lpstr>
      <vt:lpstr>PathLength3D</vt:lpstr>
      <vt:lpstr>PathLength2D</vt:lpstr>
      <vt:lpstr>InstVelocity3D_At1m</vt:lpstr>
      <vt:lpstr>InstVelocity2D_At1m</vt:lpstr>
      <vt:lpstr>Velocity3D</vt:lpstr>
      <vt:lpstr>Velocity2D</vt:lpstr>
      <vt:lpstr>Acc3D_Max</vt:lpstr>
      <vt:lpstr>Acc3D_Mean</vt:lpstr>
      <vt:lpstr>Acc2D_Max</vt:lpstr>
      <vt:lpstr>Acc2D_Mean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혁진 권</cp:lastModifiedBy>
  <dcterms:modified xsi:type="dcterms:W3CDTF">2026-01-30T09:56:43Z</dcterms:modified>
</cp:coreProperties>
</file>